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ike\Projects\migration-toolkit\dist\"/>
    </mc:Choice>
  </mc:AlternateContent>
  <xr:revisionPtr revIDLastSave="0" documentId="13_ncr:1_{3456177E-F10E-4EBB-97DD-78D29522110C}" xr6:coauthVersionLast="47" xr6:coauthVersionMax="47" xr10:uidLastSave="{00000000-0000-0000-0000-000000000000}"/>
  <bookViews>
    <workbookView xWindow="3300" yWindow="0" windowWidth="21600" windowHeight="11235" xr2:uid="{00000000-000D-0000-FFFF-FFFF00000000}"/>
  </bookViews>
  <sheets>
    <sheet name="Read Me" sheetId="1" r:id="rId1"/>
    <sheet name="Overview" sheetId="2" r:id="rId2"/>
    <sheet name="Migration Plan" sheetId="3" r:id="rId3"/>
    <sheet name="Action Log" sheetId="4" r:id="rId4"/>
    <sheet name="Change Requests" sheetId="5" r:id="rId5"/>
    <sheet name="Field Mapping" sheetId="6" r:id="rId6"/>
    <sheet name="Exception Sheet" sheetId="7" r:id="rId7"/>
    <sheet name="Reconciliation" sheetId="8" r:id="rId8"/>
    <sheet name="Linkage Check" sheetId="9" r:id="rId9"/>
    <sheet name="Gate Sign-off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9" l="1"/>
  <c r="E7" i="9" s="1"/>
  <c r="D6" i="9"/>
  <c r="E6" i="9" s="1"/>
  <c r="D5" i="9"/>
  <c r="E5" i="9" s="1"/>
  <c r="D4" i="9"/>
  <c r="E4" i="9" s="1"/>
  <c r="D3" i="9"/>
  <c r="E3" i="9" s="1"/>
  <c r="D2" i="9"/>
  <c r="E2" i="9" s="1"/>
  <c r="D7" i="8"/>
  <c r="E7" i="8" s="1"/>
  <c r="D6" i="8"/>
  <c r="E6" i="8" s="1"/>
  <c r="D5" i="8"/>
  <c r="E5" i="8" s="1"/>
  <c r="D4" i="8"/>
  <c r="E4" i="8" s="1"/>
  <c r="D3" i="8"/>
  <c r="E3" i="8" s="1"/>
  <c r="D2" i="8"/>
  <c r="E2" i="8" s="1"/>
  <c r="B23" i="2"/>
  <c r="B22" i="2"/>
  <c r="B21" i="2"/>
  <c r="B20" i="2"/>
  <c r="B19" i="2"/>
  <c r="B18" i="2"/>
  <c r="B17" i="2"/>
  <c r="B16" i="2"/>
  <c r="B15" i="2"/>
  <c r="B14" i="2"/>
  <c r="B13" i="2"/>
</calcChain>
</file>

<file path=xl/sharedStrings.xml><?xml version="1.0" encoding="utf-8"?>
<sst xmlns="http://schemas.openxmlformats.org/spreadsheetml/2006/main" count="866" uniqueCount="523">
  <si>
    <t>The Data Migration Toolkit</t>
  </si>
  <si>
    <t>WORKED EXAMPLE</t>
  </si>
  <si>
    <t>What this is</t>
  </si>
  <si>
    <t>The working sheets for running a data migration end to end, one tab per artefact, in the order you need them.</t>
  </si>
  <si>
    <t>The eight stages</t>
  </si>
  <si>
    <t>Kickoff and scope. Profile the source. Map the fields. Clean and de-dupe. The dry run. User acceptance testing. Freeze, cutover and bridge. Hypercare and close. Every stage ends at a gate, and a gate is a stage you do not leave until somebody signs.</t>
  </si>
  <si>
    <t>THE TABS</t>
  </si>
  <si>
    <t>Overview</t>
  </si>
  <si>
    <t>Progress by stage, calculated from the plan.</t>
  </si>
  <si>
    <t>Migration Plan</t>
  </si>
  <si>
    <t>The task list. Set Status and % Complete as you go.</t>
  </si>
  <si>
    <t>Action Log</t>
  </si>
  <si>
    <t>Every action and decision, with an owner and a date. Your chase list.</t>
  </si>
  <si>
    <t>Change Requests</t>
  </si>
  <si>
    <t>Anything asked for that was not in the signed scope. Log it the same day.</t>
  </si>
  <si>
    <t>Field Mapping</t>
  </si>
  <si>
    <t>Source field, target field, the rule, and who signed it off.</t>
  </si>
  <si>
    <t>Exception Sheet</t>
  </si>
  <si>
    <t>What the cleaning rules could not fix. The client decides each one.</t>
  </si>
  <si>
    <t>Reconciliation</t>
  </si>
  <si>
    <t>Counts and control totals, source against target. Run before and after.</t>
  </si>
  <si>
    <t>Linkage Check</t>
  </si>
  <si>
    <t>Every document ties to a record. Anything that does not is an orphan.</t>
  </si>
  <si>
    <t>Gate Sign-off</t>
  </si>
  <si>
    <t>One row per gate, who signed and when. This is your evidence.</t>
  </si>
  <si>
    <t>IMPORTING TO SMARTSHEET</t>
  </si>
  <si>
    <t>What imports cleanly</t>
  </si>
  <si>
    <t>Migration Plan, Action Log, Change Requests, Field Mapping, Exception Sheet and Gate Sign-off are built for it: header on row 1, no merged cells, no formulas, real dates.</t>
  </si>
  <si>
    <t>What does not</t>
  </si>
  <si>
    <t>Overview, Reconciliation and Linkage Check use formulas. Smartsheet cannot import a cross-sheet formula. Import those only if you intend to rebuild the formulas as Smartsheet column formulas. They work as they are in Excel.</t>
  </si>
  <si>
    <t>How to import</t>
  </si>
  <si>
    <t>File, then Import, then Microsoft Excel. Tick "first row is a header". Smartsheet takes one sheet per file, so save the tab you want as its own workbook first.</t>
  </si>
  <si>
    <t>Predecessors</t>
  </si>
  <si>
    <t>The Predecessors column holds row numbers, which is what Smartsheet expects. Switch on Dependencies in Project Settings after import and it wires the chain up for you.</t>
  </si>
  <si>
    <t>Hierarchy</t>
  </si>
  <si>
    <t>Excel cannot carry indentation across. After import, select the tasks under each stage row and indent them once to rebuild the parent and child structure.</t>
  </si>
  <si>
    <t>Column types</t>
  </si>
  <si>
    <t>After import: Status to a dropdown (Not Started, In Progress, Done, Blocked, N/A), % Complete to a percentage, Owner to a contact column, Start and Finish to dates.</t>
  </si>
  <si>
    <t>ABOUT THIS EXAMPLE</t>
  </si>
  <si>
    <t>The engagement</t>
  </si>
  <si>
    <t>Northwind Care Services moving from CareTrack 4.2 (legacy) to Meridian Care Platform. Seven years of records plus paper files. Kickoff 02 March 2026, currently mid cutover.</t>
  </si>
  <si>
    <t>It is fictional</t>
  </si>
  <si>
    <t>The client, both systems, every identifier and every number in here are invented to show the sheets working. No real engagement or client is described.</t>
  </si>
  <si>
    <t>The Data Migration Toolkit — Michael Nocito</t>
  </si>
  <si>
    <t>Data Migration — Live Tracker</t>
  </si>
  <si>
    <t>Client</t>
  </si>
  <si>
    <t>Northwind Care Services</t>
  </si>
  <si>
    <t>Moving from</t>
  </si>
  <si>
    <t>CareTrack 4.2 (legacy)</t>
  </si>
  <si>
    <t>Moving to</t>
  </si>
  <si>
    <t>Meridian Care Platform</t>
  </si>
  <si>
    <t>Scope</t>
  </si>
  <si>
    <t>Seven years of records, plus paper</t>
  </si>
  <si>
    <t>Migration lead</t>
  </si>
  <si>
    <t>Migration Lead</t>
  </si>
  <si>
    <t>Kickoff</t>
  </si>
  <si>
    <t>Target go-live</t>
  </si>
  <si>
    <t>Progress by stage</t>
  </si>
  <si>
    <t>Stage</t>
  </si>
  <si>
    <t>% Done</t>
  </si>
  <si>
    <t>Stage 1 — Kickoff and Scope</t>
  </si>
  <si>
    <t>Stage 2 — Profile the Source</t>
  </si>
  <si>
    <t>Stage 3 — Map the Fields</t>
  </si>
  <si>
    <t>Stage 4 — Clean and De-dupe</t>
  </si>
  <si>
    <t>Stage 5 — The Dry Run</t>
  </si>
  <si>
    <t>Stage 6 — User Acceptance Testing</t>
  </si>
  <si>
    <t>Stage 7 — Freeze, Cutover, Bridge</t>
  </si>
  <si>
    <t>Stage 8 — Hypercare and Close</t>
  </si>
  <si>
    <t>Document Digitization (parallel)</t>
  </si>
  <si>
    <t>Backfile (T plus 6 months)</t>
  </si>
  <si>
    <t>OVERALL</t>
  </si>
  <si>
    <t>This tab uses cross-sheet formulas, so it will not import to Smartsheet. See the Read Me.</t>
  </si>
  <si>
    <t>#</t>
  </si>
  <si>
    <t>Task ID</t>
  </si>
  <si>
    <t>Task Name</t>
  </si>
  <si>
    <t>Owner</t>
  </si>
  <si>
    <t>Status</t>
  </si>
  <si>
    <t>% Complete</t>
  </si>
  <si>
    <t>Start</t>
  </si>
  <si>
    <t>Finish</t>
  </si>
  <si>
    <t>Duration (days)</t>
  </si>
  <si>
    <t>Deliverable / Gate</t>
  </si>
  <si>
    <t>Guide</t>
  </si>
  <si>
    <t>Notes</t>
  </si>
  <si>
    <t>1</t>
  </si>
  <si>
    <t>1.1</t>
  </si>
  <si>
    <t>Internal handoff from Sales</t>
  </si>
  <si>
    <t>Sales / Account</t>
  </si>
  <si>
    <t>Done</t>
  </si>
  <si>
    <t>Scope, promises and stakeholders reviewed before the client sees you</t>
  </si>
  <si>
    <t>migration-kickoff-scope</t>
  </si>
  <si>
    <t>1.2</t>
  </si>
  <si>
    <t>Client kickoff meeting</t>
  </si>
  <si>
    <t>Agenda run in order; everyone knows who does what</t>
  </si>
  <si>
    <t>1.3</t>
  </si>
  <si>
    <t>Ask the four questions</t>
  </si>
  <si>
    <t>Success defined, contract signer known, data decision maker named, recovery plan agreed</t>
  </si>
  <si>
    <t>migration-questions</t>
  </si>
  <si>
    <t>1.4</t>
  </si>
  <si>
    <t>Agree a single point of contact</t>
  </si>
  <si>
    <t>Client PM</t>
  </si>
  <si>
    <t>One name, not an address book</t>
  </si>
  <si>
    <t>1.5</t>
  </si>
  <si>
    <t>Write the exclusion list</t>
  </si>
  <si>
    <t>What is NOT moving, in writing</t>
  </si>
  <si>
    <t>1.6</t>
  </si>
  <si>
    <t>Confirm source systems and access</t>
  </si>
  <si>
    <t>Client IT</t>
  </si>
  <si>
    <t>Read access granted, export method proven</t>
  </si>
  <si>
    <t>1.7</t>
  </si>
  <si>
    <t>Agree what happens to work created during the migration</t>
  </si>
  <si>
    <t>The gap is named before it opens</t>
  </si>
  <si>
    <t>migration-cutover</t>
  </si>
  <si>
    <t>1.8</t>
  </si>
  <si>
    <t>GATE — scope signed off</t>
  </si>
  <si>
    <t>Signed scope. Nothing else starts until this exists.</t>
  </si>
  <si>
    <t>2</t>
  </si>
  <si>
    <t>2.1</t>
  </si>
  <si>
    <t>Take the full initial export</t>
  </si>
  <si>
    <t>Everything, not a sample</t>
  </si>
  <si>
    <t>migration-profiling</t>
  </si>
  <si>
    <t>2.2</t>
  </si>
  <si>
    <t>Run the seven checks</t>
  </si>
  <si>
    <t>Row counts, blanks, duplicates, formats, ranges, orphans, encoding</t>
  </si>
  <si>
    <t>2.3</t>
  </si>
  <si>
    <t>Turn each finding into a decision</t>
  </si>
  <si>
    <t>A finding with no decision is a finding you will meet again at cutover</t>
  </si>
  <si>
    <t>2.4</t>
  </si>
  <si>
    <t>Re-plan where profiling changed the estimate</t>
  </si>
  <si>
    <t>Revised plan, with the reason attached</t>
  </si>
  <si>
    <t>migration-scope-creep</t>
  </si>
  <si>
    <t>2.5</t>
  </si>
  <si>
    <t>GATE — profiling report accepted</t>
  </si>
  <si>
    <t>Client has seen the true state of their data</t>
  </si>
  <si>
    <t>3</t>
  </si>
  <si>
    <t>3.1</t>
  </si>
  <si>
    <t>Source to target mapping — records</t>
  </si>
  <si>
    <t>Every field has a home, a rule and a reason</t>
  </si>
  <si>
    <t>migration-field-mapping</t>
  </si>
  <si>
    <t>3.2</t>
  </si>
  <si>
    <t>Document and metadata mapping</t>
  </si>
  <si>
    <t>Documents are data too</t>
  </si>
  <si>
    <t>3.3</t>
  </si>
  <si>
    <t>Define the unique ID</t>
  </si>
  <si>
    <t>One ID ties records and documents together</t>
  </si>
  <si>
    <t>3.4</t>
  </si>
  <si>
    <t>Decide on fields with nowhere to go</t>
  </si>
  <si>
    <t>Client Data Owner</t>
  </si>
  <si>
    <t>Each one: move, drop or park, decided by the client</t>
  </si>
  <si>
    <t>3.5</t>
  </si>
  <si>
    <t>Client review of the map</t>
  </si>
  <si>
    <t>Walked through, not emailed and hoped for</t>
  </si>
  <si>
    <t>3.6</t>
  </si>
  <si>
    <t>GATE — mapping signed off and version frozen</t>
  </si>
  <si>
    <t>The signed copy is kept separate from the working copy</t>
  </si>
  <si>
    <t>migration-file-hygiene</t>
  </si>
  <si>
    <t>4</t>
  </si>
  <si>
    <t>4.1</t>
  </si>
  <si>
    <t>Write the cleaning rules</t>
  </si>
  <si>
    <t>Rules, not one-off edits</t>
  </si>
  <si>
    <t>migration-cleaning</t>
  </si>
  <si>
    <t>4.2</t>
  </si>
  <si>
    <t>Preview every rule before applying it</t>
  </si>
  <si>
    <t>Row counts before and after, every time</t>
  </si>
  <si>
    <t>4.3</t>
  </si>
  <si>
    <t>De-duplicate, deciding which record survives</t>
  </si>
  <si>
    <t>The client decides the survivor, not the loader</t>
  </si>
  <si>
    <t>4.4</t>
  </si>
  <si>
    <t>Build the exception list</t>
  </si>
  <si>
    <t>Everything a rule cannot fix</t>
  </si>
  <si>
    <t>4.5</t>
  </si>
  <si>
    <t>Client resolves exceptions</t>
  </si>
  <si>
    <t>Decisions logged against each exception</t>
  </si>
  <si>
    <t>4.6</t>
  </si>
  <si>
    <t>GATE — exception list closed or formally accepted</t>
  </si>
  <si>
    <t>Open exceptions are a decision, not an oversight</t>
  </si>
  <si>
    <t>5</t>
  </si>
  <si>
    <t>5.1</t>
  </si>
  <si>
    <t>Load everything into the sandbox</t>
  </si>
  <si>
    <t>The whole set. A sample proves nothing about volume.</t>
  </si>
  <si>
    <t>migration-dry-run</t>
  </si>
  <si>
    <t>5.2</t>
  </si>
  <si>
    <t>Run the four checks</t>
  </si>
  <si>
    <t>Counts, control totals, links, spot fidelity</t>
  </si>
  <si>
    <t>5.3</t>
  </si>
  <si>
    <t>Log every break and how the loader behaves</t>
  </si>
  <si>
    <t>The loader log you will still be using next project</t>
  </si>
  <si>
    <t>5.4</t>
  </si>
  <si>
    <t>Fix, reload and re-check</t>
  </si>
  <si>
    <t>Repeat until the reconciliation is clean</t>
  </si>
  <si>
    <t>5.5</t>
  </si>
  <si>
    <t>GATE — clean reconciliation in sandbox</t>
  </si>
  <si>
    <t>Issues documented, not just fixed</t>
  </si>
  <si>
    <t>6</t>
  </si>
  <si>
    <t>6.1</t>
  </si>
  <si>
    <t>Choose testers who do the work daily</t>
  </si>
  <si>
    <t>Not managers. People who would notice.</t>
  </si>
  <si>
    <t>migration-uat</t>
  </si>
  <si>
    <t>6.2</t>
  </si>
  <si>
    <t>Give testers a script and real scenarios</t>
  </si>
  <si>
    <t>Ask a question, do not ask for a favour</t>
  </si>
  <si>
    <t>6.3</t>
  </si>
  <si>
    <t>Run the UAT sessions</t>
  </si>
  <si>
    <t>Client SMEs</t>
  </si>
  <si>
    <t>Findings captured as they happen</t>
  </si>
  <si>
    <t>6.4</t>
  </si>
  <si>
    <t>Triage UAT findings</t>
  </si>
  <si>
    <t>Fix, defer or explain, each one answered</t>
  </si>
  <si>
    <t>6.5</t>
  </si>
  <si>
    <t>GATE — client signs off UAT</t>
  </si>
  <si>
    <t>Written sign-off from the people who tested</t>
  </si>
  <si>
    <t>7</t>
  </si>
  <si>
    <t>Stage 7 — Freeze, Cutover and Bridge</t>
  </si>
  <si>
    <t>7.1</t>
  </si>
  <si>
    <t>Agree and communicate the freeze window</t>
  </si>
  <si>
    <t>Everyone knows when the old system stops taking work</t>
  </si>
  <si>
    <t>7.2</t>
  </si>
  <si>
    <t>Take the final delta export</t>
  </si>
  <si>
    <t>Everything added since the initial export</t>
  </si>
  <si>
    <t>7.3</t>
  </si>
  <si>
    <t>Cutover, in order</t>
  </si>
  <si>
    <t>Records, then documents, then links</t>
  </si>
  <si>
    <t>7.4</t>
  </si>
  <si>
    <t>Bridge import</t>
  </si>
  <si>
    <t>The gap closed, not left for later</t>
  </si>
  <si>
    <t>7.5</t>
  </si>
  <si>
    <t>Post-load reconciliation</t>
  </si>
  <si>
    <t>In Progress</t>
  </si>
  <si>
    <t>The same checks as the dry run, on production</t>
  </si>
  <si>
    <t>7.6</t>
  </si>
  <si>
    <t>GATE — go-live accepted</t>
  </si>
  <si>
    <t>Numbers match, client accepts, together</t>
  </si>
  <si>
    <t>8</t>
  </si>
  <si>
    <t>8.1</t>
  </si>
  <si>
    <t>Agree the hypercare window before you need it</t>
  </si>
  <si>
    <t>Length and route agreed in advance</t>
  </si>
  <si>
    <t>migration-hypercare</t>
  </si>
  <si>
    <t>8.2</t>
  </si>
  <si>
    <t>Log and resolve what surfaces</t>
  </si>
  <si>
    <t>The long tail, tracked not absorbed</t>
  </si>
  <si>
    <t>8.3</t>
  </si>
  <si>
    <t>Final reconciliation report</t>
  </si>
  <si>
    <t>Not Started</t>
  </si>
  <si>
    <t>The proof the move was complete</t>
  </si>
  <si>
    <t>8.4</t>
  </si>
  <si>
    <t>Internal results readout</t>
  </si>
  <si>
    <t>What went well, what to change next time</t>
  </si>
  <si>
    <t>8.5</t>
  </si>
  <si>
    <t>Handoff to Support</t>
  </si>
  <si>
    <t>Support / CS</t>
  </si>
  <si>
    <t>So it lands warmly, with context</t>
  </si>
  <si>
    <t>8.6</t>
  </si>
  <si>
    <t>GATE — project closed, handoff accepted</t>
  </si>
  <si>
    <t>Support owns it now, knowingly</t>
  </si>
  <si>
    <t>DD</t>
  </si>
  <si>
    <t>Parallel — Document Digitization</t>
  </si>
  <si>
    <t>DD.1</t>
  </si>
  <si>
    <t>Audit paper volume, condition and scope</t>
  </si>
  <si>
    <t>How much paper, in what state</t>
  </si>
  <si>
    <t>DD.2</t>
  </si>
  <si>
    <t>Select vendor and agree chain of custody</t>
  </si>
  <si>
    <t>Who holds the records, and how it is proven</t>
  </si>
  <si>
    <t>DD.3</t>
  </si>
  <si>
    <t>Define indexing metadata to match the map</t>
  </si>
  <si>
    <t>Index to the target fields, not to what is convenient</t>
  </si>
  <si>
    <t>DD.4</t>
  </si>
  <si>
    <t>Scan, OCR, index and QA</t>
  </si>
  <si>
    <t>Scanning Vendor</t>
  </si>
  <si>
    <t>Digitized and indexed, ready to link</t>
  </si>
  <si>
    <t>DD.5</t>
  </si>
  <si>
    <t>Day-forward scanning live at go-live</t>
  </si>
  <si>
    <t>New paper never becomes new backlog</t>
  </si>
  <si>
    <t>BF</t>
  </si>
  <si>
    <t>Follow-on — Backfile (T plus 6 months)</t>
  </si>
  <si>
    <t>BF.1</t>
  </si>
  <si>
    <t>Backfile scanning continues</t>
  </si>
  <si>
    <t>The historical paper, on contract</t>
  </si>
  <si>
    <t>BF.2</t>
  </si>
  <si>
    <t>Bridge import of historical documents</t>
  </si>
  <si>
    <t>Loaded and linked by the same unique ID</t>
  </si>
  <si>
    <t>BF.3</t>
  </si>
  <si>
    <t>Reconcile the backfile</t>
  </si>
  <si>
    <t>Counts tie, no orphans</t>
  </si>
  <si>
    <t>migration-pitfalls</t>
  </si>
  <si>
    <t>BF.4</t>
  </si>
  <si>
    <t>Decommission paper storage</t>
  </si>
  <si>
    <t>The reason the project was funded</t>
  </si>
  <si>
    <t>Action ID</t>
  </si>
  <si>
    <t>Date raised</t>
  </si>
  <si>
    <t>Source</t>
  </si>
  <si>
    <t>Related Task ID</t>
  </si>
  <si>
    <t>Action or decision needed</t>
  </si>
  <si>
    <t>Due</t>
  </si>
  <si>
    <t>Resolution / notes</t>
  </si>
  <si>
    <t>A001</t>
  </si>
  <si>
    <t>Internal handoff</t>
  </si>
  <si>
    <t>Sales to share the signed scope and the promises log</t>
  </si>
  <si>
    <t>Received 5 Mar. Two promises not in scope, logged as CR-01.</t>
  </si>
  <si>
    <t>A002</t>
  </si>
  <si>
    <t>Kickoff meeting</t>
  </si>
  <si>
    <t>Client to send the legacy systems list and a sample export</t>
  </si>
  <si>
    <t>Export method proven 10 Mar.</t>
  </si>
  <si>
    <t>A003</t>
  </si>
  <si>
    <t>Name the one person who decides on data questions</t>
  </si>
  <si>
    <t>Client Data Owner named. Saved a fortnight later.</t>
  </si>
  <si>
    <t>A004</t>
  </si>
  <si>
    <t>Profiling</t>
  </si>
  <si>
    <t>Decide what happens to the 1,204 records with no date of birth</t>
  </si>
  <si>
    <t>Move with the field blank. Flagged for post go-live cleanup.</t>
  </si>
  <si>
    <t>A005</t>
  </si>
  <si>
    <t>Confirm records before 2019 are archive only and not migrating</t>
  </si>
  <si>
    <t>Confirmed. Cut the volume by about a third.</t>
  </si>
  <si>
    <t>A006</t>
  </si>
  <si>
    <t>Email</t>
  </si>
  <si>
    <t>Decide the unique ID format: client number or record number</t>
  </si>
  <si>
    <t>Client number. It is on the paper files too.</t>
  </si>
  <si>
    <t>A007</t>
  </si>
  <si>
    <t>Call</t>
  </si>
  <si>
    <t>Approve the scanning vendor and the chain of custody document</t>
  </si>
  <si>
    <t>Approved. Custody log signed at each handover.</t>
  </si>
  <si>
    <t>A008</t>
  </si>
  <si>
    <t>Dry run</t>
  </si>
  <si>
    <t>Loader silently truncates notes over 4,000 characters</t>
  </si>
  <si>
    <t>Split into a linked note record. Logged in the loader notes.</t>
  </si>
  <si>
    <t>A009</t>
  </si>
  <si>
    <t>UAT</t>
  </si>
  <si>
    <t>Two testers report service type showing as blank on older records</t>
  </si>
  <si>
    <t>Free-text variant missed by the picklist map. Rule added, reloaded.</t>
  </si>
  <si>
    <t>A010</t>
  </si>
  <si>
    <t>Hypercare</t>
  </si>
  <si>
    <t>Client asks for a count of documents loaded per year for their auditor</t>
  </si>
  <si>
    <t>Open</t>
  </si>
  <si>
    <t>CR ID</t>
  </si>
  <si>
    <t>Raised by</t>
  </si>
  <si>
    <t>What is being asked for</t>
  </si>
  <si>
    <t>In signed scope?</t>
  </si>
  <si>
    <t>Impact on timeline</t>
  </si>
  <si>
    <t>Impact on cost</t>
  </si>
  <si>
    <t>Decision</t>
  </si>
  <si>
    <t>Decided by</t>
  </si>
  <si>
    <t>Date decided</t>
  </si>
  <si>
    <t>CR-01</t>
  </si>
  <si>
    <t>Sales promised a custom field for referral source that is not in the target</t>
  </si>
  <si>
    <t>No</t>
  </si>
  <si>
    <t>None if done now</t>
  </si>
  <si>
    <t>Half a day</t>
  </si>
  <si>
    <t>Accepted. Small, and it was promised in the sale.</t>
  </si>
  <si>
    <t>CR-02</t>
  </si>
  <si>
    <t>Migrate the scheduling history as well as the client and visit records</t>
  </si>
  <si>
    <t>Plus 3 weeks</t>
  </si>
  <si>
    <t>Plus 2 weeks effort</t>
  </si>
  <si>
    <t>Two doors offered: move go-live, or defer to phase two. Client chose phase two.</t>
  </si>
  <si>
    <t>CR-03</t>
  </si>
  <si>
    <t>Keep the legacy note formatting exactly as it appears today</t>
  </si>
  <si>
    <t>Plus 1 week</t>
  </si>
  <si>
    <t>Plus 3 days</t>
  </si>
  <si>
    <t>Declined. Explained what the target can and cannot hold, agreed plain text.</t>
  </si>
  <si>
    <t>CR-04</t>
  </si>
  <si>
    <t>Bring the go-live forward by one week to suit a board meeting</t>
  </si>
  <si>
    <t>Minus 1 week</t>
  </si>
  <si>
    <t>None</t>
  </si>
  <si>
    <t>Declined. UAT sign-off would have been skipped. Reason put in writing.</t>
  </si>
  <si>
    <t>Source field</t>
  </si>
  <si>
    <t>Source example</t>
  </si>
  <si>
    <t>Target field</t>
  </si>
  <si>
    <t>Transformation rule</t>
  </si>
  <si>
    <t>Required?</t>
  </si>
  <si>
    <t>Signed off by</t>
  </si>
  <si>
    <t>Date signed</t>
  </si>
  <si>
    <t>client_name</t>
  </si>
  <si>
    <t>Smith, John</t>
  </si>
  <si>
    <t>First Name / Last Name</t>
  </si>
  <si>
    <t>Split on the comma into two fields. Trim spaces.</t>
  </si>
  <si>
    <t>Yes</t>
  </si>
  <si>
    <t>Signed off</t>
  </si>
  <si>
    <t>client_no</t>
  </si>
  <si>
    <t>NW-4471</t>
  </si>
  <si>
    <t>Client ID (unique key)</t>
  </si>
  <si>
    <t>Use as the unique ID. Ties records and documents together.</t>
  </si>
  <si>
    <t>dob</t>
  </si>
  <si>
    <t>01/02/1950 (text)</t>
  </si>
  <si>
    <t>Date of Birth</t>
  </si>
  <si>
    <t>Parse text to date as MM/DD/YYYY. Ambiguous values go to the exception list.</t>
  </si>
  <si>
    <t>status_cd</t>
  </si>
  <si>
    <t>A</t>
  </si>
  <si>
    <t>Client Status</t>
  </si>
  <si>
    <t>A to Active, I to Inactive, D to Discharged. Anything else to the exception list.</t>
  </si>
  <si>
    <t>phone</t>
  </si>
  <si>
    <t>(856) 555-1212</t>
  </si>
  <si>
    <t>Primary Phone</t>
  </si>
  <si>
    <t>Strip formatting to digits only. Fewer than 10 digits to the exception list.</t>
  </si>
  <si>
    <t>svc_type</t>
  </si>
  <si>
    <t>home aide / HHA / H.H.A.</t>
  </si>
  <si>
    <t>Service Type (picklist)</t>
  </si>
  <si>
    <t>Map every free-text variant to one picklist value. Variant list held separately.</t>
  </si>
  <si>
    <t>notes</t>
  </si>
  <si>
    <t>free text, any length</t>
  </si>
  <si>
    <t>Client Notes</t>
  </si>
  <si>
    <t>Target truncates over 4,000 characters. Split the overflow into a linked note.</t>
  </si>
  <si>
    <t>referral_src</t>
  </si>
  <si>
    <t>word of mouth</t>
  </si>
  <si>
    <t>Referral Source (custom)</t>
  </si>
  <si>
    <t>Custom field added under CR-01.</t>
  </si>
  <si>
    <t>(paper file)</t>
  </si>
  <si>
    <t>consent form, scanned</t>
  </si>
  <si>
    <t>Document: type, date, author, client link</t>
  </si>
  <si>
    <t>Indexed by the scanning vendor to the four target metadata fields.</t>
  </si>
  <si>
    <t>legacy_sched</t>
  </si>
  <si>
    <t>visit schedule history</t>
  </si>
  <si>
    <t>(not migrating)</t>
  </si>
  <si>
    <t>Out of scope. Deferred to phase two under CR-02.</t>
  </si>
  <si>
    <t>Excluded</t>
  </si>
  <si>
    <t>Exception ID</t>
  </si>
  <si>
    <t>Record ID</t>
  </si>
  <si>
    <t>Field</t>
  </si>
  <si>
    <t>Issue</t>
  </si>
  <si>
    <t>Severity</t>
  </si>
  <si>
    <t>Client decision</t>
  </si>
  <si>
    <t>Date resolved</t>
  </si>
  <si>
    <t>E001</t>
  </si>
  <si>
    <t>Missing a required value</t>
  </si>
  <si>
    <t>High</t>
  </si>
  <si>
    <t>Supplied from the paper chart</t>
  </si>
  <si>
    <t>Resolved</t>
  </si>
  <si>
    <t>E002</t>
  </si>
  <si>
    <t>NW-4471 / NW-8123</t>
  </si>
  <si>
    <t>Client record</t>
  </si>
  <si>
    <t>Possible duplicate: same name and date of birth</t>
  </si>
  <si>
    <t>Confirmed a duplicate. Keep NW-4471, merge the visit history.</t>
  </si>
  <si>
    <t>E003</t>
  </si>
  <si>
    <t>NW-3290</t>
  </si>
  <si>
    <t>Three digits, not a valid number</t>
  </si>
  <si>
    <t>Low</t>
  </si>
  <si>
    <t>Leave blank and correct after go-live</t>
  </si>
  <si>
    <t>E004</t>
  </si>
  <si>
    <t>NW-5567</t>
  </si>
  <si>
    <t>Service Type</t>
  </si>
  <si>
    <t>Free-text value not in the picklist</t>
  </si>
  <si>
    <t>Medium</t>
  </si>
  <si>
    <t>Map to Home Health Aide</t>
  </si>
  <si>
    <t>E005</t>
  </si>
  <si>
    <t>D-2204</t>
  </si>
  <si>
    <t>Client link</t>
  </si>
  <si>
    <t>Document has no matching client record</t>
  </si>
  <si>
    <t>Re-indexed to NW-4471 by the vendor</t>
  </si>
  <si>
    <t>E006</t>
  </si>
  <si>
    <t>D-2210</t>
  </si>
  <si>
    <t>Scan quality</t>
  </si>
  <si>
    <t>Paper scan is unreadable</t>
  </si>
  <si>
    <t>Vendor to re-scan at a higher resolution</t>
  </si>
  <si>
    <t>E007</t>
  </si>
  <si>
    <t>NW-0099</t>
  </si>
  <si>
    <t>Date is 02/03/1948, format ambiguous</t>
  </si>
  <si>
    <t>Confirmed as 3 February from the paper chart</t>
  </si>
  <si>
    <t>E008</t>
  </si>
  <si>
    <t>1,204 records</t>
  </si>
  <si>
    <t>Missing across a large batch</t>
  </si>
  <si>
    <t>Accepted. Move blank, clean up after go-live. Logged as A004.</t>
  </si>
  <si>
    <t>Accepted</t>
  </si>
  <si>
    <t>Check</t>
  </si>
  <si>
    <t>Source count</t>
  </si>
  <si>
    <t>Target count</t>
  </si>
  <si>
    <t>Difference</t>
  </si>
  <si>
    <t>Result</t>
  </si>
  <si>
    <t>When run</t>
  </si>
  <si>
    <t>Client records</t>
  </si>
  <si>
    <t>After cutover</t>
  </si>
  <si>
    <t>Visit records</t>
  </si>
  <si>
    <t>Documents (scanned and native)</t>
  </si>
  <si>
    <t>Active clients</t>
  </si>
  <si>
    <t>Control total — balances</t>
  </si>
  <si>
    <t>Sum, not a count</t>
  </si>
  <si>
    <t>Documents with a client link</t>
  </si>
  <si>
    <t>See Linkage Check</t>
  </si>
  <si>
    <t>Run the same checks before the load and after it. A difference of zero on every row is the only pass. This tab uses formulas, so it will not import to Smartsheet.</t>
  </si>
  <si>
    <t>Document ID</t>
  </si>
  <si>
    <t>Document type</t>
  </si>
  <si>
    <t>Client ID on the document</t>
  </si>
  <si>
    <t>Found in records?</t>
  </si>
  <si>
    <t>Client IDs in the target</t>
  </si>
  <si>
    <t>D-2201</t>
  </si>
  <si>
    <t>Consent form</t>
  </si>
  <si>
    <t>D-2202</t>
  </si>
  <si>
    <t>Care plan</t>
  </si>
  <si>
    <t>D-2203</t>
  </si>
  <si>
    <t>Referral</t>
  </si>
  <si>
    <t>Assessment</t>
  </si>
  <si>
    <t>NW-8123</t>
  </si>
  <si>
    <t>D-2205</t>
  </si>
  <si>
    <t>D-2206</t>
  </si>
  <si>
    <t>Column G is the list of client IDs that exist in the target. An orphaned document is a compliance problem, not a tidy-up job. This tab uses formulas, so it will not import to Smartsheet.</t>
  </si>
  <si>
    <t>Gate</t>
  </si>
  <si>
    <t>What is being signed</t>
  </si>
  <si>
    <t>Signed by</t>
  </si>
  <si>
    <t>Role</t>
  </si>
  <si>
    <t>Date</t>
  </si>
  <si>
    <t>Evidence held</t>
  </si>
  <si>
    <t>G1</t>
  </si>
  <si>
    <t>Scope, including the exclusion list</t>
  </si>
  <si>
    <t>A. Reyes</t>
  </si>
  <si>
    <t>Email, saved to 01-scope</t>
  </si>
  <si>
    <t>G2</t>
  </si>
  <si>
    <t>Profiling report and the decisions taken from it</t>
  </si>
  <si>
    <t>Report v1.2, countersigned</t>
  </si>
  <si>
    <t>G3</t>
  </si>
  <si>
    <t>The field map, version frozen</t>
  </si>
  <si>
    <t>J. Okafor</t>
  </si>
  <si>
    <t>Map v3.0 signed. Working copy kept separate.</t>
  </si>
  <si>
    <t>G4</t>
  </si>
  <si>
    <t>Exception list closed or formally accepted</t>
  </si>
  <si>
    <t>Exception sheet, 8 items, all answered</t>
  </si>
  <si>
    <t>G5</t>
  </si>
  <si>
    <t>Clean reconciliation in the sandbox</t>
  </si>
  <si>
    <t>Reconciliation tab, all Pass</t>
  </si>
  <si>
    <t>G6</t>
  </si>
  <si>
    <t>UAT passed by the people who tested</t>
  </si>
  <si>
    <t>Sign-off sheet, 6 testers</t>
  </si>
  <si>
    <t>G7</t>
  </si>
  <si>
    <t>Go-live accepted</t>
  </si>
  <si>
    <t>Post-load reconciliation, all Pass</t>
  </si>
  <si>
    <t>G8</t>
  </si>
  <si>
    <t>Project closed and handed to Support</t>
  </si>
  <si>
    <t>Pending. Hypercare window ends 10 July.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</si>
</sst>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Calibri"/>
      <family val="2"/>
      <scheme val="minor"/>
    </font>
    <font>
      <b/>
      <sz val="16"/>
      <color rgb="FF1C1C1E"/>
      <name val="Arial"/>
    </font>
    <font>
      <b/>
      <sz val="11"/>
      <color rgb="FF2F5FD0"/>
      <name val="Arial"/>
    </font>
    <font>
      <b/>
      <sz val="10"/>
      <color rgb="FF1C1C1E"/>
      <name val="Arial"/>
    </font>
    <font>
      <sz val="10"/>
      <color rgb="FF1C1C1E"/>
      <name val="Arial"/>
    </font>
    <font>
      <sz val="9"/>
      <color rgb="FF6B6B70"/>
      <name val="Arial"/>
    </font>
    <font>
      <b/>
      <sz val="10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2F5FD0"/>
      </patternFill>
    </fill>
    <fill>
      <patternFill patternType="solid">
        <fgColor rgb="FFE8EEFB"/>
      </patternFill>
    </fill>
    <fill>
      <patternFill patternType="solid">
        <fgColor rgb="FFFDF6E3"/>
      </patternFill>
    </fill>
  </fills>
  <borders count="2">
    <border>
      <left/>
      <right/>
      <top/>
      <bottom/>
      <diagonal/>
    </border>
    <border>
      <left style="thin">
        <color rgb="FFD8D8DE"/>
      </left>
      <right style="thin">
        <color rgb="FFD8D8DE"/>
      </right>
      <top style="thin">
        <color rgb="FFD8D8DE"/>
      </top>
      <bottom style="thin">
        <color rgb="FFD8D8DE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0" fontId="6" fillId="2" borderId="1" xfId="0" applyFont="1" applyFill="1" applyBorder="1"/>
    <xf numFmtId="0" fontId="4" fillId="0" borderId="1" xfId="0" applyFont="1" applyBorder="1"/>
    <xf numFmtId="9" fontId="4" fillId="0" borderId="1" xfId="0" applyNumberFormat="1" applyFont="1" applyBorder="1"/>
    <xf numFmtId="0" fontId="3" fillId="0" borderId="1" xfId="0" applyFont="1" applyBorder="1"/>
    <xf numFmtId="9" fontId="3" fillId="0" borderId="1" xfId="0" applyNumberFormat="1" applyFont="1" applyBorder="1"/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/>
    </xf>
    <xf numFmtId="0" fontId="4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9" fontId="4" fillId="4" borderId="1" xfId="0" applyNumberFormat="1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tabSelected="1" workbookViewId="0"/>
  </sheetViews>
  <sheetFormatPr defaultRowHeight="15" x14ac:dyDescent="0.25"/>
  <cols>
    <col min="1" max="1" width="26" customWidth="1"/>
    <col min="2" max="2" width="92" customWidth="1"/>
  </cols>
  <sheetData>
    <row r="1" spans="1:2" ht="20.25" x14ac:dyDescent="0.3">
      <c r="A1" s="1" t="s">
        <v>0</v>
      </c>
    </row>
    <row r="2" spans="1:2" x14ac:dyDescent="0.25">
      <c r="A2" s="2" t="s">
        <v>1</v>
      </c>
    </row>
    <row r="4" spans="1:2" ht="25.5" x14ac:dyDescent="0.25">
      <c r="A4" s="3" t="s">
        <v>2</v>
      </c>
      <c r="B4" s="4" t="s">
        <v>3</v>
      </c>
    </row>
    <row r="5" spans="1:2" ht="38.25" x14ac:dyDescent="0.25">
      <c r="A5" s="3" t="s">
        <v>4</v>
      </c>
      <c r="B5" s="4" t="s">
        <v>5</v>
      </c>
    </row>
    <row r="7" spans="1:2" x14ac:dyDescent="0.25">
      <c r="A7" s="2" t="s">
        <v>6</v>
      </c>
    </row>
    <row r="8" spans="1:2" x14ac:dyDescent="0.25">
      <c r="A8" s="3" t="s">
        <v>7</v>
      </c>
      <c r="B8" s="4" t="s">
        <v>8</v>
      </c>
    </row>
    <row r="9" spans="1:2" x14ac:dyDescent="0.25">
      <c r="A9" s="3" t="s">
        <v>9</v>
      </c>
      <c r="B9" s="4" t="s">
        <v>10</v>
      </c>
    </row>
    <row r="10" spans="1:2" x14ac:dyDescent="0.25">
      <c r="A10" s="3" t="s">
        <v>11</v>
      </c>
      <c r="B10" s="4" t="s">
        <v>12</v>
      </c>
    </row>
    <row r="11" spans="1:2" x14ac:dyDescent="0.25">
      <c r="A11" s="3" t="s">
        <v>13</v>
      </c>
      <c r="B11" s="4" t="s">
        <v>14</v>
      </c>
    </row>
    <row r="12" spans="1:2" x14ac:dyDescent="0.25">
      <c r="A12" s="3" t="s">
        <v>15</v>
      </c>
      <c r="B12" s="4" t="s">
        <v>16</v>
      </c>
    </row>
    <row r="13" spans="1:2" x14ac:dyDescent="0.25">
      <c r="A13" s="3" t="s">
        <v>17</v>
      </c>
      <c r="B13" s="4" t="s">
        <v>18</v>
      </c>
    </row>
    <row r="14" spans="1:2" x14ac:dyDescent="0.25">
      <c r="A14" s="3" t="s">
        <v>19</v>
      </c>
      <c r="B14" s="4" t="s">
        <v>20</v>
      </c>
    </row>
    <row r="15" spans="1:2" x14ac:dyDescent="0.25">
      <c r="A15" s="3" t="s">
        <v>21</v>
      </c>
      <c r="B15" s="4" t="s">
        <v>22</v>
      </c>
    </row>
    <row r="16" spans="1:2" x14ac:dyDescent="0.25">
      <c r="A16" s="3" t="s">
        <v>23</v>
      </c>
      <c r="B16" s="4" t="s">
        <v>24</v>
      </c>
    </row>
    <row r="18" spans="1:2" x14ac:dyDescent="0.25">
      <c r="A18" s="2" t="s">
        <v>25</v>
      </c>
    </row>
    <row r="19" spans="1:2" ht="25.5" x14ac:dyDescent="0.25">
      <c r="A19" s="3" t="s">
        <v>26</v>
      </c>
      <c r="B19" s="4" t="s">
        <v>27</v>
      </c>
    </row>
    <row r="20" spans="1:2" ht="38.25" x14ac:dyDescent="0.25">
      <c r="A20" s="3" t="s">
        <v>28</v>
      </c>
      <c r="B20" s="4" t="s">
        <v>29</v>
      </c>
    </row>
    <row r="21" spans="1:2" ht="25.5" x14ac:dyDescent="0.25">
      <c r="A21" s="3" t="s">
        <v>30</v>
      </c>
      <c r="B21" s="4" t="s">
        <v>31</v>
      </c>
    </row>
    <row r="22" spans="1:2" ht="25.5" x14ac:dyDescent="0.25">
      <c r="A22" s="3" t="s">
        <v>32</v>
      </c>
      <c r="B22" s="4" t="s">
        <v>33</v>
      </c>
    </row>
    <row r="23" spans="1:2" ht="25.5" x14ac:dyDescent="0.25">
      <c r="A23" s="3" t="s">
        <v>34</v>
      </c>
      <c r="B23" s="4" t="s">
        <v>35</v>
      </c>
    </row>
    <row r="24" spans="1:2" ht="25.5" x14ac:dyDescent="0.25">
      <c r="A24" s="3" t="s">
        <v>36</v>
      </c>
      <c r="B24" s="4" t="s">
        <v>37</v>
      </c>
    </row>
    <row r="26" spans="1:2" x14ac:dyDescent="0.25">
      <c r="A26" s="2" t="s">
        <v>38</v>
      </c>
    </row>
    <row r="27" spans="1:2" ht="25.5" x14ac:dyDescent="0.25">
      <c r="A27" s="3" t="s">
        <v>39</v>
      </c>
      <c r="B27" s="4" t="s">
        <v>40</v>
      </c>
    </row>
    <row r="28" spans="1:2" ht="25.5" x14ac:dyDescent="0.25">
      <c r="A28" s="3" t="s">
        <v>41</v>
      </c>
      <c r="B28" s="4" t="s">
        <v>42</v>
      </c>
    </row>
    <row r="30" spans="1:2" x14ac:dyDescent="0.25">
      <c r="A30" s="5" t="s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5"/>
  <sheetViews>
    <sheetView workbookViewId="0"/>
  </sheetViews>
  <sheetFormatPr defaultRowHeight="15" x14ac:dyDescent="0.25"/>
  <cols>
    <col min="1" max="1" width="36" customWidth="1"/>
    <col min="2" max="2" width="44" customWidth="1"/>
  </cols>
  <sheetData>
    <row r="1" spans="1:2" ht="20.25" x14ac:dyDescent="0.3">
      <c r="A1" s="1" t="s">
        <v>44</v>
      </c>
    </row>
    <row r="3" spans="1:2" x14ac:dyDescent="0.25">
      <c r="A3" s="6" t="s">
        <v>45</v>
      </c>
      <c r="B3" s="7" t="s">
        <v>46</v>
      </c>
    </row>
    <row r="4" spans="1:2" x14ac:dyDescent="0.25">
      <c r="A4" s="6" t="s">
        <v>47</v>
      </c>
      <c r="B4" s="7" t="s">
        <v>48</v>
      </c>
    </row>
    <row r="5" spans="1:2" x14ac:dyDescent="0.25">
      <c r="A5" s="6" t="s">
        <v>49</v>
      </c>
      <c r="B5" s="7" t="s">
        <v>50</v>
      </c>
    </row>
    <row r="6" spans="1:2" x14ac:dyDescent="0.25">
      <c r="A6" s="6" t="s">
        <v>51</v>
      </c>
      <c r="B6" s="7" t="s">
        <v>52</v>
      </c>
    </row>
    <row r="7" spans="1:2" x14ac:dyDescent="0.25">
      <c r="A7" s="6" t="s">
        <v>53</v>
      </c>
      <c r="B7" s="7" t="s">
        <v>54</v>
      </c>
    </row>
    <row r="8" spans="1:2" x14ac:dyDescent="0.25">
      <c r="A8" s="6" t="s">
        <v>55</v>
      </c>
      <c r="B8" s="8">
        <v>46083</v>
      </c>
    </row>
    <row r="9" spans="1:2" x14ac:dyDescent="0.25">
      <c r="A9" s="6" t="s">
        <v>56</v>
      </c>
      <c r="B9" s="8">
        <v>46185</v>
      </c>
    </row>
    <row r="11" spans="1:2" x14ac:dyDescent="0.25">
      <c r="A11" s="2" t="s">
        <v>57</v>
      </c>
    </row>
    <row r="12" spans="1:2" x14ac:dyDescent="0.25">
      <c r="A12" s="9" t="s">
        <v>58</v>
      </c>
      <c r="B12" s="9" t="s">
        <v>59</v>
      </c>
    </row>
    <row r="13" spans="1:2" x14ac:dyDescent="0.25">
      <c r="A13" s="10" t="s">
        <v>60</v>
      </c>
      <c r="B13" s="11">
        <f>IFERROR(COUNTIFS('Migration Plan'!$B$2:$B$67,"1.*",'Migration Plan'!$F$2:$F$67,"Done")/COUNTIF('Migration Plan'!$B$2:$B$67,"1.*"),0)</f>
        <v>1</v>
      </c>
    </row>
    <row r="14" spans="1:2" x14ac:dyDescent="0.25">
      <c r="A14" s="10" t="s">
        <v>61</v>
      </c>
      <c r="B14" s="11">
        <f>IFERROR(COUNTIFS('Migration Plan'!$B$2:$B$67,"2.*",'Migration Plan'!$F$2:$F$67,"Done")/COUNTIF('Migration Plan'!$B$2:$B$67,"2.*"),0)</f>
        <v>1</v>
      </c>
    </row>
    <row r="15" spans="1:2" x14ac:dyDescent="0.25">
      <c r="A15" s="10" t="s">
        <v>62</v>
      </c>
      <c r="B15" s="11">
        <f>IFERROR(COUNTIFS('Migration Plan'!$B$2:$B$67,"3.*",'Migration Plan'!$F$2:$F$67,"Done")/COUNTIF('Migration Plan'!$B$2:$B$67,"3.*"),0)</f>
        <v>1</v>
      </c>
    </row>
    <row r="16" spans="1:2" x14ac:dyDescent="0.25">
      <c r="A16" s="10" t="s">
        <v>63</v>
      </c>
      <c r="B16" s="11">
        <f>IFERROR(COUNTIFS('Migration Plan'!$B$2:$B$67,"4.*",'Migration Plan'!$F$2:$F$67,"Done")/COUNTIF('Migration Plan'!$B$2:$B$67,"4.*"),0)</f>
        <v>1</v>
      </c>
    </row>
    <row r="17" spans="1:2" x14ac:dyDescent="0.25">
      <c r="A17" s="10" t="s">
        <v>64</v>
      </c>
      <c r="B17" s="11">
        <f>IFERROR(COUNTIFS('Migration Plan'!$B$2:$B$67,"5.*",'Migration Plan'!$F$2:$F$67,"Done")/COUNTIF('Migration Plan'!$B$2:$B$67,"5.*"),0)</f>
        <v>1</v>
      </c>
    </row>
    <row r="18" spans="1:2" x14ac:dyDescent="0.25">
      <c r="A18" s="10" t="s">
        <v>65</v>
      </c>
      <c r="B18" s="11">
        <f>IFERROR(COUNTIFS('Migration Plan'!$B$2:$B$67,"6.*",'Migration Plan'!$F$2:$F$67,"Done")/COUNTIF('Migration Plan'!$B$2:$B$67,"6.*"),0)</f>
        <v>1</v>
      </c>
    </row>
    <row r="19" spans="1:2" x14ac:dyDescent="0.25">
      <c r="A19" s="10" t="s">
        <v>66</v>
      </c>
      <c r="B19" s="11">
        <f>IFERROR(COUNTIFS('Migration Plan'!$B$2:$B$67,"7.*",'Migration Plan'!$F$2:$F$67,"Done")/COUNTIF('Migration Plan'!$B$2:$B$67,"7.*"),0)</f>
        <v>0.66666666666666663</v>
      </c>
    </row>
    <row r="20" spans="1:2" x14ac:dyDescent="0.25">
      <c r="A20" s="10" t="s">
        <v>67</v>
      </c>
      <c r="B20" s="11">
        <f>IFERROR(COUNTIFS('Migration Plan'!$B$2:$B$67,"8.*",'Migration Plan'!$F$2:$F$67,"Done")/COUNTIF('Migration Plan'!$B$2:$B$67,"8.*"),0)</f>
        <v>0</v>
      </c>
    </row>
    <row r="21" spans="1:2" x14ac:dyDescent="0.25">
      <c r="A21" s="10" t="s">
        <v>68</v>
      </c>
      <c r="B21" s="11">
        <f>IFERROR(COUNTIFS('Migration Plan'!$B$2:$B$67,"DD.*",'Migration Plan'!$F$2:$F$67,"Done")/COUNTIF('Migration Plan'!$B$2:$B$67,"DD.*"),0)</f>
        <v>1</v>
      </c>
    </row>
    <row r="22" spans="1:2" x14ac:dyDescent="0.25">
      <c r="A22" s="10" t="s">
        <v>69</v>
      </c>
      <c r="B22" s="11">
        <f>IFERROR(COUNTIFS('Migration Plan'!$B$2:$B$67,"BF.*",'Migration Plan'!$F$2:$F$67,"Done")/COUNTIF('Migration Plan'!$B$2:$B$67,"BF.*"),0)</f>
        <v>0</v>
      </c>
    </row>
    <row r="23" spans="1:2" x14ac:dyDescent="0.25">
      <c r="A23" s="12" t="s">
        <v>70</v>
      </c>
      <c r="B23" s="13">
        <f>IFERROR(COUNTIF('Migration Plan'!$F$2:$F$67,"Done")/COUNTA('Migration Plan'!$F$2:$F$67),0)</f>
        <v>0.7857142857142857</v>
      </c>
    </row>
    <row r="25" spans="1:2" ht="36" x14ac:dyDescent="0.25">
      <c r="A25" s="14" t="s">
        <v>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6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5" customWidth="1"/>
    <col min="2" max="2" width="9" customWidth="1"/>
    <col min="3" max="3" width="44" customWidth="1"/>
    <col min="4" max="4" width="30" customWidth="1"/>
    <col min="5" max="5" width="20" customWidth="1"/>
    <col min="6" max="6" width="13" customWidth="1"/>
    <col min="7" max="7" width="11" customWidth="1"/>
    <col min="8" max="9" width="12" customWidth="1"/>
    <col min="10" max="10" width="10" customWidth="1"/>
    <col min="11" max="11" width="13" customWidth="1"/>
    <col min="12" max="12" width="44" customWidth="1"/>
    <col min="13" max="13" width="24" customWidth="1"/>
    <col min="14" max="14" width="26" customWidth="1"/>
  </cols>
  <sheetData>
    <row r="1" spans="1:14" ht="26.1" customHeight="1" x14ac:dyDescent="0.25">
      <c r="A1" s="15" t="s">
        <v>72</v>
      </c>
      <c r="B1" s="15" t="s">
        <v>73</v>
      </c>
      <c r="C1" s="15" t="s">
        <v>74</v>
      </c>
      <c r="D1" s="15" t="s">
        <v>58</v>
      </c>
      <c r="E1" s="15" t="s">
        <v>75</v>
      </c>
      <c r="F1" s="15" t="s">
        <v>76</v>
      </c>
      <c r="G1" s="15" t="s">
        <v>77</v>
      </c>
      <c r="H1" s="15" t="s">
        <v>78</v>
      </c>
      <c r="I1" s="15" t="s">
        <v>79</v>
      </c>
      <c r="J1" s="15" t="s">
        <v>80</v>
      </c>
      <c r="K1" s="15" t="s">
        <v>32</v>
      </c>
      <c r="L1" s="15" t="s">
        <v>81</v>
      </c>
      <c r="M1" s="15" t="s">
        <v>82</v>
      </c>
      <c r="N1" s="15" t="s">
        <v>83</v>
      </c>
    </row>
    <row r="2" spans="1:14" x14ac:dyDescent="0.25">
      <c r="A2" s="16"/>
      <c r="B2" s="16" t="s">
        <v>84</v>
      </c>
      <c r="C2" s="16" t="s">
        <v>60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</row>
    <row r="3" spans="1:14" ht="25.5" x14ac:dyDescent="0.25">
      <c r="A3" s="17">
        <v>1</v>
      </c>
      <c r="B3" s="17" t="s">
        <v>85</v>
      </c>
      <c r="C3" s="17" t="s">
        <v>86</v>
      </c>
      <c r="D3" s="17" t="s">
        <v>60</v>
      </c>
      <c r="E3" s="17" t="s">
        <v>87</v>
      </c>
      <c r="F3" s="17" t="s">
        <v>88</v>
      </c>
      <c r="G3" s="18">
        <v>1</v>
      </c>
      <c r="H3" s="19">
        <v>46084</v>
      </c>
      <c r="I3" s="19">
        <v>46085</v>
      </c>
      <c r="J3" s="17">
        <v>2</v>
      </c>
      <c r="K3" s="17"/>
      <c r="L3" s="17" t="s">
        <v>89</v>
      </c>
      <c r="M3" s="17" t="s">
        <v>90</v>
      </c>
      <c r="N3" s="17"/>
    </row>
    <row r="4" spans="1:14" ht="25.5" x14ac:dyDescent="0.25">
      <c r="A4" s="17">
        <v>2</v>
      </c>
      <c r="B4" s="17" t="s">
        <v>91</v>
      </c>
      <c r="C4" s="17" t="s">
        <v>92</v>
      </c>
      <c r="D4" s="17" t="s">
        <v>60</v>
      </c>
      <c r="E4" s="17" t="s">
        <v>54</v>
      </c>
      <c r="F4" s="17" t="s">
        <v>88</v>
      </c>
      <c r="G4" s="18">
        <v>1</v>
      </c>
      <c r="H4" s="19">
        <v>46086</v>
      </c>
      <c r="I4" s="19">
        <v>46086</v>
      </c>
      <c r="J4" s="17">
        <v>1</v>
      </c>
      <c r="K4" s="17">
        <v>1</v>
      </c>
      <c r="L4" s="17" t="s">
        <v>93</v>
      </c>
      <c r="M4" s="17" t="s">
        <v>90</v>
      </c>
      <c r="N4" s="17"/>
    </row>
    <row r="5" spans="1:14" ht="25.5" x14ac:dyDescent="0.25">
      <c r="A5" s="17">
        <v>3</v>
      </c>
      <c r="B5" s="17" t="s">
        <v>94</v>
      </c>
      <c r="C5" s="17" t="s">
        <v>95</v>
      </c>
      <c r="D5" s="17" t="s">
        <v>60</v>
      </c>
      <c r="E5" s="17" t="s">
        <v>54</v>
      </c>
      <c r="F5" s="17" t="s">
        <v>88</v>
      </c>
      <c r="G5" s="18">
        <v>1</v>
      </c>
      <c r="H5" s="19">
        <v>46087</v>
      </c>
      <c r="I5" s="19">
        <v>46090</v>
      </c>
      <c r="J5" s="17">
        <v>2</v>
      </c>
      <c r="K5" s="17">
        <v>2</v>
      </c>
      <c r="L5" s="17" t="s">
        <v>96</v>
      </c>
      <c r="M5" s="17" t="s">
        <v>97</v>
      </c>
      <c r="N5" s="17"/>
    </row>
    <row r="6" spans="1:14" x14ac:dyDescent="0.25">
      <c r="A6" s="17">
        <v>4</v>
      </c>
      <c r="B6" s="17" t="s">
        <v>98</v>
      </c>
      <c r="C6" s="17" t="s">
        <v>99</v>
      </c>
      <c r="D6" s="17" t="s">
        <v>60</v>
      </c>
      <c r="E6" s="17" t="s">
        <v>100</v>
      </c>
      <c r="F6" s="17" t="s">
        <v>88</v>
      </c>
      <c r="G6" s="18">
        <v>1</v>
      </c>
      <c r="H6" s="19">
        <v>46091</v>
      </c>
      <c r="I6" s="19">
        <v>46091</v>
      </c>
      <c r="J6" s="17">
        <v>1</v>
      </c>
      <c r="K6" s="17">
        <v>3</v>
      </c>
      <c r="L6" s="17" t="s">
        <v>101</v>
      </c>
      <c r="M6" s="17" t="s">
        <v>90</v>
      </c>
      <c r="N6" s="17"/>
    </row>
    <row r="7" spans="1:14" x14ac:dyDescent="0.25">
      <c r="A7" s="17">
        <v>5</v>
      </c>
      <c r="B7" s="17" t="s">
        <v>102</v>
      </c>
      <c r="C7" s="17" t="s">
        <v>103</v>
      </c>
      <c r="D7" s="17" t="s">
        <v>60</v>
      </c>
      <c r="E7" s="17" t="s">
        <v>54</v>
      </c>
      <c r="F7" s="17" t="s">
        <v>88</v>
      </c>
      <c r="G7" s="18">
        <v>1</v>
      </c>
      <c r="H7" s="19">
        <v>46092</v>
      </c>
      <c r="I7" s="19">
        <v>46094</v>
      </c>
      <c r="J7" s="17">
        <v>3</v>
      </c>
      <c r="K7" s="17">
        <v>4</v>
      </c>
      <c r="L7" s="17" t="s">
        <v>104</v>
      </c>
      <c r="M7" s="17" t="s">
        <v>90</v>
      </c>
      <c r="N7" s="17"/>
    </row>
    <row r="8" spans="1:14" x14ac:dyDescent="0.25">
      <c r="A8" s="17">
        <v>6</v>
      </c>
      <c r="B8" s="17" t="s">
        <v>105</v>
      </c>
      <c r="C8" s="17" t="s">
        <v>106</v>
      </c>
      <c r="D8" s="17" t="s">
        <v>60</v>
      </c>
      <c r="E8" s="17" t="s">
        <v>107</v>
      </c>
      <c r="F8" s="17" t="s">
        <v>88</v>
      </c>
      <c r="G8" s="18">
        <v>1</v>
      </c>
      <c r="H8" s="19">
        <v>46097</v>
      </c>
      <c r="I8" s="19">
        <v>46099</v>
      </c>
      <c r="J8" s="17">
        <v>3</v>
      </c>
      <c r="K8" s="17">
        <v>5</v>
      </c>
      <c r="L8" s="17" t="s">
        <v>108</v>
      </c>
      <c r="M8" s="17" t="s">
        <v>90</v>
      </c>
      <c r="N8" s="17"/>
    </row>
    <row r="9" spans="1:14" ht="25.5" x14ac:dyDescent="0.25">
      <c r="A9" s="17">
        <v>7</v>
      </c>
      <c r="B9" s="17" t="s">
        <v>109</v>
      </c>
      <c r="C9" s="17" t="s">
        <v>110</v>
      </c>
      <c r="D9" s="17" t="s">
        <v>60</v>
      </c>
      <c r="E9" s="17" t="s">
        <v>100</v>
      </c>
      <c r="F9" s="17" t="s">
        <v>88</v>
      </c>
      <c r="G9" s="18">
        <v>1</v>
      </c>
      <c r="H9" s="19">
        <v>46100</v>
      </c>
      <c r="I9" s="19">
        <v>46100</v>
      </c>
      <c r="J9" s="17">
        <v>1</v>
      </c>
      <c r="K9" s="17">
        <v>6</v>
      </c>
      <c r="L9" s="17" t="s">
        <v>111</v>
      </c>
      <c r="M9" s="17" t="s">
        <v>112</v>
      </c>
      <c r="N9" s="17"/>
    </row>
    <row r="10" spans="1:14" x14ac:dyDescent="0.25">
      <c r="A10" s="20">
        <v>8</v>
      </c>
      <c r="B10" s="20" t="s">
        <v>113</v>
      </c>
      <c r="C10" s="21" t="s">
        <v>114</v>
      </c>
      <c r="D10" s="20" t="s">
        <v>60</v>
      </c>
      <c r="E10" s="20" t="s">
        <v>100</v>
      </c>
      <c r="F10" s="20" t="s">
        <v>88</v>
      </c>
      <c r="G10" s="22">
        <v>1</v>
      </c>
      <c r="H10" s="23">
        <v>46101</v>
      </c>
      <c r="I10" s="23">
        <v>46101</v>
      </c>
      <c r="J10" s="20">
        <v>1</v>
      </c>
      <c r="K10" s="20">
        <v>7</v>
      </c>
      <c r="L10" s="20" t="s">
        <v>115</v>
      </c>
      <c r="M10" s="20" t="s">
        <v>90</v>
      </c>
      <c r="N10" s="20"/>
    </row>
    <row r="11" spans="1:14" x14ac:dyDescent="0.25">
      <c r="A11" s="16"/>
      <c r="B11" s="16" t="s">
        <v>116</v>
      </c>
      <c r="C11" s="16" t="s">
        <v>61</v>
      </c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</row>
    <row r="12" spans="1:14" x14ac:dyDescent="0.25">
      <c r="A12" s="17">
        <v>9</v>
      </c>
      <c r="B12" s="17" t="s">
        <v>117</v>
      </c>
      <c r="C12" s="17" t="s">
        <v>118</v>
      </c>
      <c r="D12" s="17" t="s">
        <v>61</v>
      </c>
      <c r="E12" s="17" t="s">
        <v>107</v>
      </c>
      <c r="F12" s="17" t="s">
        <v>88</v>
      </c>
      <c r="G12" s="18">
        <v>1</v>
      </c>
      <c r="H12" s="19">
        <v>46104</v>
      </c>
      <c r="I12" s="19">
        <v>46105</v>
      </c>
      <c r="J12" s="17">
        <v>2</v>
      </c>
      <c r="K12" s="17"/>
      <c r="L12" s="17" t="s">
        <v>119</v>
      </c>
      <c r="M12" s="17" t="s">
        <v>120</v>
      </c>
      <c r="N12" s="17"/>
    </row>
    <row r="13" spans="1:14" ht="25.5" x14ac:dyDescent="0.25">
      <c r="A13" s="17">
        <v>10</v>
      </c>
      <c r="B13" s="17" t="s">
        <v>121</v>
      </c>
      <c r="C13" s="17" t="s">
        <v>122</v>
      </c>
      <c r="D13" s="17" t="s">
        <v>61</v>
      </c>
      <c r="E13" s="17" t="s">
        <v>54</v>
      </c>
      <c r="F13" s="17" t="s">
        <v>88</v>
      </c>
      <c r="G13" s="18">
        <v>1</v>
      </c>
      <c r="H13" s="19">
        <v>46106</v>
      </c>
      <c r="I13" s="19">
        <v>46112</v>
      </c>
      <c r="J13" s="17">
        <v>5</v>
      </c>
      <c r="K13" s="17">
        <v>9</v>
      </c>
      <c r="L13" s="17" t="s">
        <v>123</v>
      </c>
      <c r="M13" s="17" t="s">
        <v>120</v>
      </c>
      <c r="N13" s="17"/>
    </row>
    <row r="14" spans="1:14" ht="25.5" x14ac:dyDescent="0.25">
      <c r="A14" s="17">
        <v>11</v>
      </c>
      <c r="B14" s="17" t="s">
        <v>124</v>
      </c>
      <c r="C14" s="17" t="s">
        <v>125</v>
      </c>
      <c r="D14" s="17" t="s">
        <v>61</v>
      </c>
      <c r="E14" s="17" t="s">
        <v>54</v>
      </c>
      <c r="F14" s="17" t="s">
        <v>88</v>
      </c>
      <c r="G14" s="18">
        <v>1</v>
      </c>
      <c r="H14" s="19">
        <v>46113</v>
      </c>
      <c r="I14" s="19">
        <v>46115</v>
      </c>
      <c r="J14" s="17">
        <v>3</v>
      </c>
      <c r="K14" s="17">
        <v>10</v>
      </c>
      <c r="L14" s="17" t="s">
        <v>126</v>
      </c>
      <c r="M14" s="17" t="s">
        <v>120</v>
      </c>
      <c r="N14" s="17"/>
    </row>
    <row r="15" spans="1:14" x14ac:dyDescent="0.25">
      <c r="A15" s="17">
        <v>12</v>
      </c>
      <c r="B15" s="17" t="s">
        <v>127</v>
      </c>
      <c r="C15" s="17" t="s">
        <v>128</v>
      </c>
      <c r="D15" s="17" t="s">
        <v>61</v>
      </c>
      <c r="E15" s="17" t="s">
        <v>54</v>
      </c>
      <c r="F15" s="17" t="s">
        <v>88</v>
      </c>
      <c r="G15" s="18">
        <v>1</v>
      </c>
      <c r="H15" s="19">
        <v>46118</v>
      </c>
      <c r="I15" s="19">
        <v>46119</v>
      </c>
      <c r="J15" s="17">
        <v>2</v>
      </c>
      <c r="K15" s="17">
        <v>11</v>
      </c>
      <c r="L15" s="17" t="s">
        <v>129</v>
      </c>
      <c r="M15" s="17" t="s">
        <v>130</v>
      </c>
      <c r="N15" s="17"/>
    </row>
    <row r="16" spans="1:14" x14ac:dyDescent="0.25">
      <c r="A16" s="20">
        <v>13</v>
      </c>
      <c r="B16" s="20" t="s">
        <v>131</v>
      </c>
      <c r="C16" s="21" t="s">
        <v>132</v>
      </c>
      <c r="D16" s="20" t="s">
        <v>61</v>
      </c>
      <c r="E16" s="20" t="s">
        <v>100</v>
      </c>
      <c r="F16" s="20" t="s">
        <v>88</v>
      </c>
      <c r="G16" s="22">
        <v>1</v>
      </c>
      <c r="H16" s="23">
        <v>46120</v>
      </c>
      <c r="I16" s="23">
        <v>46120</v>
      </c>
      <c r="J16" s="20">
        <v>1</v>
      </c>
      <c r="K16" s="20">
        <v>12</v>
      </c>
      <c r="L16" s="20" t="s">
        <v>133</v>
      </c>
      <c r="M16" s="20" t="s">
        <v>120</v>
      </c>
      <c r="N16" s="20"/>
    </row>
    <row r="17" spans="1:14" x14ac:dyDescent="0.25">
      <c r="A17" s="16"/>
      <c r="B17" s="16" t="s">
        <v>134</v>
      </c>
      <c r="C17" s="16" t="s">
        <v>62</v>
      </c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</row>
    <row r="18" spans="1:14" x14ac:dyDescent="0.25">
      <c r="A18" s="17">
        <v>14</v>
      </c>
      <c r="B18" s="17" t="s">
        <v>135</v>
      </c>
      <c r="C18" s="17" t="s">
        <v>136</v>
      </c>
      <c r="D18" s="17" t="s">
        <v>62</v>
      </c>
      <c r="E18" s="17" t="s">
        <v>54</v>
      </c>
      <c r="F18" s="17" t="s">
        <v>88</v>
      </c>
      <c r="G18" s="18">
        <v>1</v>
      </c>
      <c r="H18" s="19">
        <v>46121</v>
      </c>
      <c r="I18" s="19">
        <v>46132</v>
      </c>
      <c r="J18" s="17">
        <v>8</v>
      </c>
      <c r="K18" s="17"/>
      <c r="L18" s="17" t="s">
        <v>137</v>
      </c>
      <c r="M18" s="17" t="s">
        <v>138</v>
      </c>
      <c r="N18" s="17"/>
    </row>
    <row r="19" spans="1:14" x14ac:dyDescent="0.25">
      <c r="A19" s="17">
        <v>15</v>
      </c>
      <c r="B19" s="17" t="s">
        <v>139</v>
      </c>
      <c r="C19" s="17" t="s">
        <v>140</v>
      </c>
      <c r="D19" s="17" t="s">
        <v>62</v>
      </c>
      <c r="E19" s="17" t="s">
        <v>54</v>
      </c>
      <c r="F19" s="17" t="s">
        <v>88</v>
      </c>
      <c r="G19" s="18">
        <v>1</v>
      </c>
      <c r="H19" s="19">
        <v>46133</v>
      </c>
      <c r="I19" s="19">
        <v>46136</v>
      </c>
      <c r="J19" s="17">
        <v>4</v>
      </c>
      <c r="K19" s="17">
        <v>14</v>
      </c>
      <c r="L19" s="17" t="s">
        <v>141</v>
      </c>
      <c r="M19" s="17" t="s">
        <v>138</v>
      </c>
      <c r="N19" s="17"/>
    </row>
    <row r="20" spans="1:14" x14ac:dyDescent="0.25">
      <c r="A20" s="17">
        <v>16</v>
      </c>
      <c r="B20" s="17" t="s">
        <v>142</v>
      </c>
      <c r="C20" s="17" t="s">
        <v>143</v>
      </c>
      <c r="D20" s="17" t="s">
        <v>62</v>
      </c>
      <c r="E20" s="17" t="s">
        <v>54</v>
      </c>
      <c r="F20" s="17" t="s">
        <v>88</v>
      </c>
      <c r="G20" s="18">
        <v>1</v>
      </c>
      <c r="H20" s="19">
        <v>46139</v>
      </c>
      <c r="I20" s="19">
        <v>46141</v>
      </c>
      <c r="J20" s="17">
        <v>3</v>
      </c>
      <c r="K20" s="17">
        <v>15</v>
      </c>
      <c r="L20" s="17" t="s">
        <v>144</v>
      </c>
      <c r="M20" s="17" t="s">
        <v>138</v>
      </c>
      <c r="N20" s="17"/>
    </row>
    <row r="21" spans="1:14" ht="25.5" x14ac:dyDescent="0.25">
      <c r="A21" s="17">
        <v>17</v>
      </c>
      <c r="B21" s="17" t="s">
        <v>145</v>
      </c>
      <c r="C21" s="17" t="s">
        <v>146</v>
      </c>
      <c r="D21" s="17" t="s">
        <v>62</v>
      </c>
      <c r="E21" s="17" t="s">
        <v>147</v>
      </c>
      <c r="F21" s="17" t="s">
        <v>88</v>
      </c>
      <c r="G21" s="18">
        <v>1</v>
      </c>
      <c r="H21" s="19">
        <v>46142</v>
      </c>
      <c r="I21" s="19">
        <v>46146</v>
      </c>
      <c r="J21" s="17">
        <v>3</v>
      </c>
      <c r="K21" s="17">
        <v>16</v>
      </c>
      <c r="L21" s="17" t="s">
        <v>148</v>
      </c>
      <c r="M21" s="17" t="s">
        <v>138</v>
      </c>
      <c r="N21" s="17"/>
    </row>
    <row r="22" spans="1:14" x14ac:dyDescent="0.25">
      <c r="A22" s="17">
        <v>18</v>
      </c>
      <c r="B22" s="17" t="s">
        <v>149</v>
      </c>
      <c r="C22" s="17" t="s">
        <v>150</v>
      </c>
      <c r="D22" s="17" t="s">
        <v>62</v>
      </c>
      <c r="E22" s="17" t="s">
        <v>100</v>
      </c>
      <c r="F22" s="17" t="s">
        <v>88</v>
      </c>
      <c r="G22" s="18">
        <v>1</v>
      </c>
      <c r="H22" s="19">
        <v>46147</v>
      </c>
      <c r="I22" s="19">
        <v>46149</v>
      </c>
      <c r="J22" s="17">
        <v>3</v>
      </c>
      <c r="K22" s="17">
        <v>17</v>
      </c>
      <c r="L22" s="17" t="s">
        <v>151</v>
      </c>
      <c r="M22" s="17" t="s">
        <v>138</v>
      </c>
      <c r="N22" s="17"/>
    </row>
    <row r="23" spans="1:14" ht="25.5" x14ac:dyDescent="0.25">
      <c r="A23" s="20">
        <v>19</v>
      </c>
      <c r="B23" s="20" t="s">
        <v>152</v>
      </c>
      <c r="C23" s="21" t="s">
        <v>153</v>
      </c>
      <c r="D23" s="20" t="s">
        <v>62</v>
      </c>
      <c r="E23" s="20" t="s">
        <v>100</v>
      </c>
      <c r="F23" s="20" t="s">
        <v>88</v>
      </c>
      <c r="G23" s="22">
        <v>1</v>
      </c>
      <c r="H23" s="23">
        <v>46150</v>
      </c>
      <c r="I23" s="23">
        <v>46150</v>
      </c>
      <c r="J23" s="20">
        <v>1</v>
      </c>
      <c r="K23" s="20">
        <v>18</v>
      </c>
      <c r="L23" s="20" t="s">
        <v>154</v>
      </c>
      <c r="M23" s="20" t="s">
        <v>155</v>
      </c>
      <c r="N23" s="20"/>
    </row>
    <row r="24" spans="1:14" x14ac:dyDescent="0.25">
      <c r="A24" s="16"/>
      <c r="B24" s="16" t="s">
        <v>156</v>
      </c>
      <c r="C24" s="16" t="s">
        <v>63</v>
      </c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</row>
    <row r="25" spans="1:14" x14ac:dyDescent="0.25">
      <c r="A25" s="17">
        <v>20</v>
      </c>
      <c r="B25" s="17" t="s">
        <v>157</v>
      </c>
      <c r="C25" s="17" t="s">
        <v>158</v>
      </c>
      <c r="D25" s="17" t="s">
        <v>63</v>
      </c>
      <c r="E25" s="17" t="s">
        <v>54</v>
      </c>
      <c r="F25" s="17" t="s">
        <v>88</v>
      </c>
      <c r="G25" s="18">
        <v>1</v>
      </c>
      <c r="H25" s="19">
        <v>46153</v>
      </c>
      <c r="I25" s="19">
        <v>46156</v>
      </c>
      <c r="J25" s="17">
        <v>4</v>
      </c>
      <c r="K25" s="17"/>
      <c r="L25" s="17" t="s">
        <v>159</v>
      </c>
      <c r="M25" s="17" t="s">
        <v>160</v>
      </c>
      <c r="N25" s="17"/>
    </row>
    <row r="26" spans="1:14" x14ac:dyDescent="0.25">
      <c r="A26" s="17">
        <v>21</v>
      </c>
      <c r="B26" s="17" t="s">
        <v>161</v>
      </c>
      <c r="C26" s="17" t="s">
        <v>162</v>
      </c>
      <c r="D26" s="17" t="s">
        <v>63</v>
      </c>
      <c r="E26" s="17" t="s">
        <v>54</v>
      </c>
      <c r="F26" s="17" t="s">
        <v>88</v>
      </c>
      <c r="G26" s="18">
        <v>1</v>
      </c>
      <c r="H26" s="19">
        <v>46157</v>
      </c>
      <c r="I26" s="19">
        <v>46161</v>
      </c>
      <c r="J26" s="17">
        <v>3</v>
      </c>
      <c r="K26" s="17">
        <v>20</v>
      </c>
      <c r="L26" s="17" t="s">
        <v>163</v>
      </c>
      <c r="M26" s="17" t="s">
        <v>160</v>
      </c>
      <c r="N26" s="17"/>
    </row>
    <row r="27" spans="1:14" x14ac:dyDescent="0.25">
      <c r="A27" s="17">
        <v>22</v>
      </c>
      <c r="B27" s="17" t="s">
        <v>164</v>
      </c>
      <c r="C27" s="17" t="s">
        <v>165</v>
      </c>
      <c r="D27" s="17" t="s">
        <v>63</v>
      </c>
      <c r="E27" s="17" t="s">
        <v>54</v>
      </c>
      <c r="F27" s="17" t="s">
        <v>88</v>
      </c>
      <c r="G27" s="18">
        <v>1</v>
      </c>
      <c r="H27" s="19">
        <v>46162</v>
      </c>
      <c r="I27" s="19">
        <v>46167</v>
      </c>
      <c r="J27" s="17">
        <v>4</v>
      </c>
      <c r="K27" s="17">
        <v>21</v>
      </c>
      <c r="L27" s="17" t="s">
        <v>166</v>
      </c>
      <c r="M27" s="17" t="s">
        <v>160</v>
      </c>
      <c r="N27" s="17"/>
    </row>
    <row r="28" spans="1:14" x14ac:dyDescent="0.25">
      <c r="A28" s="17">
        <v>23</v>
      </c>
      <c r="B28" s="17" t="s">
        <v>167</v>
      </c>
      <c r="C28" s="17" t="s">
        <v>168</v>
      </c>
      <c r="D28" s="17" t="s">
        <v>63</v>
      </c>
      <c r="E28" s="17" t="s">
        <v>54</v>
      </c>
      <c r="F28" s="17" t="s">
        <v>88</v>
      </c>
      <c r="G28" s="18">
        <v>1</v>
      </c>
      <c r="H28" s="19">
        <v>46168</v>
      </c>
      <c r="I28" s="19">
        <v>46170</v>
      </c>
      <c r="J28" s="17">
        <v>3</v>
      </c>
      <c r="K28" s="17">
        <v>22</v>
      </c>
      <c r="L28" s="17" t="s">
        <v>169</v>
      </c>
      <c r="M28" s="17" t="s">
        <v>160</v>
      </c>
      <c r="N28" s="17"/>
    </row>
    <row r="29" spans="1:14" x14ac:dyDescent="0.25">
      <c r="A29" s="17">
        <v>24</v>
      </c>
      <c r="B29" s="17" t="s">
        <v>170</v>
      </c>
      <c r="C29" s="17" t="s">
        <v>171</v>
      </c>
      <c r="D29" s="17" t="s">
        <v>63</v>
      </c>
      <c r="E29" s="17" t="s">
        <v>147</v>
      </c>
      <c r="F29" s="17" t="s">
        <v>88</v>
      </c>
      <c r="G29" s="18">
        <v>1</v>
      </c>
      <c r="H29" s="19">
        <v>46171</v>
      </c>
      <c r="I29" s="19">
        <v>46178</v>
      </c>
      <c r="J29" s="17">
        <v>6</v>
      </c>
      <c r="K29" s="17">
        <v>23</v>
      </c>
      <c r="L29" s="17" t="s">
        <v>172</v>
      </c>
      <c r="M29" s="17" t="s">
        <v>160</v>
      </c>
      <c r="N29" s="17"/>
    </row>
    <row r="30" spans="1:14" ht="25.5" x14ac:dyDescent="0.25">
      <c r="A30" s="20">
        <v>25</v>
      </c>
      <c r="B30" s="20" t="s">
        <v>173</v>
      </c>
      <c r="C30" s="21" t="s">
        <v>174</v>
      </c>
      <c r="D30" s="20" t="s">
        <v>63</v>
      </c>
      <c r="E30" s="20" t="s">
        <v>100</v>
      </c>
      <c r="F30" s="20" t="s">
        <v>88</v>
      </c>
      <c r="G30" s="22">
        <v>1</v>
      </c>
      <c r="H30" s="23">
        <v>46181</v>
      </c>
      <c r="I30" s="23">
        <v>46181</v>
      </c>
      <c r="J30" s="20">
        <v>1</v>
      </c>
      <c r="K30" s="20">
        <v>24</v>
      </c>
      <c r="L30" s="20" t="s">
        <v>175</v>
      </c>
      <c r="M30" s="20" t="s">
        <v>160</v>
      </c>
      <c r="N30" s="20"/>
    </row>
    <row r="31" spans="1:14" x14ac:dyDescent="0.25">
      <c r="A31" s="16"/>
      <c r="B31" s="16" t="s">
        <v>176</v>
      </c>
      <c r="C31" s="16" t="s">
        <v>64</v>
      </c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</row>
    <row r="32" spans="1:14" ht="25.5" x14ac:dyDescent="0.25">
      <c r="A32" s="17">
        <v>26</v>
      </c>
      <c r="B32" s="17" t="s">
        <v>177</v>
      </c>
      <c r="C32" s="17" t="s">
        <v>178</v>
      </c>
      <c r="D32" s="17" t="s">
        <v>64</v>
      </c>
      <c r="E32" s="17" t="s">
        <v>54</v>
      </c>
      <c r="F32" s="17" t="s">
        <v>88</v>
      </c>
      <c r="G32" s="18">
        <v>1</v>
      </c>
      <c r="H32" s="19">
        <v>46182</v>
      </c>
      <c r="I32" s="19">
        <v>46185</v>
      </c>
      <c r="J32" s="17">
        <v>4</v>
      </c>
      <c r="K32" s="17"/>
      <c r="L32" s="17" t="s">
        <v>179</v>
      </c>
      <c r="M32" s="17" t="s">
        <v>180</v>
      </c>
      <c r="N32" s="17"/>
    </row>
    <row r="33" spans="1:14" x14ac:dyDescent="0.25">
      <c r="A33" s="17">
        <v>27</v>
      </c>
      <c r="B33" s="17" t="s">
        <v>181</v>
      </c>
      <c r="C33" s="17" t="s">
        <v>182</v>
      </c>
      <c r="D33" s="17" t="s">
        <v>64</v>
      </c>
      <c r="E33" s="17" t="s">
        <v>54</v>
      </c>
      <c r="F33" s="17" t="s">
        <v>88</v>
      </c>
      <c r="G33" s="18">
        <v>1</v>
      </c>
      <c r="H33" s="19">
        <v>46188</v>
      </c>
      <c r="I33" s="19">
        <v>46190</v>
      </c>
      <c r="J33" s="17">
        <v>3</v>
      </c>
      <c r="K33" s="17">
        <v>26</v>
      </c>
      <c r="L33" s="17" t="s">
        <v>183</v>
      </c>
      <c r="M33" s="17" t="s">
        <v>180</v>
      </c>
      <c r="N33" s="17"/>
    </row>
    <row r="34" spans="1:14" x14ac:dyDescent="0.25">
      <c r="A34" s="17">
        <v>28</v>
      </c>
      <c r="B34" s="17" t="s">
        <v>184</v>
      </c>
      <c r="C34" s="17" t="s">
        <v>185</v>
      </c>
      <c r="D34" s="17" t="s">
        <v>64</v>
      </c>
      <c r="E34" s="17" t="s">
        <v>54</v>
      </c>
      <c r="F34" s="17" t="s">
        <v>88</v>
      </c>
      <c r="G34" s="18">
        <v>1</v>
      </c>
      <c r="H34" s="19">
        <v>46191</v>
      </c>
      <c r="I34" s="19">
        <v>46195</v>
      </c>
      <c r="J34" s="17">
        <v>3</v>
      </c>
      <c r="K34" s="17">
        <v>27</v>
      </c>
      <c r="L34" s="17" t="s">
        <v>186</v>
      </c>
      <c r="M34" s="17" t="s">
        <v>180</v>
      </c>
      <c r="N34" s="17"/>
    </row>
    <row r="35" spans="1:14" x14ac:dyDescent="0.25">
      <c r="A35" s="17">
        <v>29</v>
      </c>
      <c r="B35" s="17" t="s">
        <v>187</v>
      </c>
      <c r="C35" s="17" t="s">
        <v>188</v>
      </c>
      <c r="D35" s="17" t="s">
        <v>64</v>
      </c>
      <c r="E35" s="17" t="s">
        <v>54</v>
      </c>
      <c r="F35" s="17" t="s">
        <v>88</v>
      </c>
      <c r="G35" s="18">
        <v>1</v>
      </c>
      <c r="H35" s="19">
        <v>46196</v>
      </c>
      <c r="I35" s="19">
        <v>46202</v>
      </c>
      <c r="J35" s="17">
        <v>5</v>
      </c>
      <c r="K35" s="17">
        <v>28</v>
      </c>
      <c r="L35" s="17" t="s">
        <v>189</v>
      </c>
      <c r="M35" s="17" t="s">
        <v>180</v>
      </c>
      <c r="N35" s="17"/>
    </row>
    <row r="36" spans="1:14" x14ac:dyDescent="0.25">
      <c r="A36" s="20">
        <v>30</v>
      </c>
      <c r="B36" s="20" t="s">
        <v>190</v>
      </c>
      <c r="C36" s="21" t="s">
        <v>191</v>
      </c>
      <c r="D36" s="20" t="s">
        <v>64</v>
      </c>
      <c r="E36" s="20" t="s">
        <v>54</v>
      </c>
      <c r="F36" s="20" t="s">
        <v>88</v>
      </c>
      <c r="G36" s="22">
        <v>1</v>
      </c>
      <c r="H36" s="23">
        <v>46203</v>
      </c>
      <c r="I36" s="23">
        <v>46203</v>
      </c>
      <c r="J36" s="20">
        <v>1</v>
      </c>
      <c r="K36" s="20">
        <v>29</v>
      </c>
      <c r="L36" s="20" t="s">
        <v>192</v>
      </c>
      <c r="M36" s="20" t="s">
        <v>180</v>
      </c>
      <c r="N36" s="20"/>
    </row>
    <row r="37" spans="1:14" x14ac:dyDescent="0.25">
      <c r="A37" s="16"/>
      <c r="B37" s="16" t="s">
        <v>193</v>
      </c>
      <c r="C37" s="16" t="s">
        <v>65</v>
      </c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</row>
    <row r="38" spans="1:14" ht="25.5" x14ac:dyDescent="0.25">
      <c r="A38" s="17">
        <v>31</v>
      </c>
      <c r="B38" s="17" t="s">
        <v>194</v>
      </c>
      <c r="C38" s="17" t="s">
        <v>195</v>
      </c>
      <c r="D38" s="17" t="s">
        <v>65</v>
      </c>
      <c r="E38" s="17" t="s">
        <v>100</v>
      </c>
      <c r="F38" s="17" t="s">
        <v>88</v>
      </c>
      <c r="G38" s="18">
        <v>1</v>
      </c>
      <c r="H38" s="19">
        <v>46204</v>
      </c>
      <c r="I38" s="19">
        <v>46205</v>
      </c>
      <c r="J38" s="17">
        <v>2</v>
      </c>
      <c r="K38" s="17"/>
      <c r="L38" s="17" t="s">
        <v>196</v>
      </c>
      <c r="M38" s="17" t="s">
        <v>197</v>
      </c>
      <c r="N38" s="17"/>
    </row>
    <row r="39" spans="1:14" ht="25.5" x14ac:dyDescent="0.25">
      <c r="A39" s="17">
        <v>32</v>
      </c>
      <c r="B39" s="17" t="s">
        <v>198</v>
      </c>
      <c r="C39" s="17" t="s">
        <v>199</v>
      </c>
      <c r="D39" s="17" t="s">
        <v>65</v>
      </c>
      <c r="E39" s="17" t="s">
        <v>54</v>
      </c>
      <c r="F39" s="17" t="s">
        <v>88</v>
      </c>
      <c r="G39" s="18">
        <v>1</v>
      </c>
      <c r="H39" s="19">
        <v>46206</v>
      </c>
      <c r="I39" s="19">
        <v>46210</v>
      </c>
      <c r="J39" s="17">
        <v>3</v>
      </c>
      <c r="K39" s="17">
        <v>31</v>
      </c>
      <c r="L39" s="17" t="s">
        <v>200</v>
      </c>
      <c r="M39" s="17" t="s">
        <v>197</v>
      </c>
      <c r="N39" s="17"/>
    </row>
    <row r="40" spans="1:14" ht="25.5" x14ac:dyDescent="0.25">
      <c r="A40" s="17">
        <v>33</v>
      </c>
      <c r="B40" s="17" t="s">
        <v>201</v>
      </c>
      <c r="C40" s="17" t="s">
        <v>202</v>
      </c>
      <c r="D40" s="17" t="s">
        <v>65</v>
      </c>
      <c r="E40" s="17" t="s">
        <v>203</v>
      </c>
      <c r="F40" s="17" t="s">
        <v>88</v>
      </c>
      <c r="G40" s="18">
        <v>1</v>
      </c>
      <c r="H40" s="19">
        <v>46211</v>
      </c>
      <c r="I40" s="19">
        <v>46217</v>
      </c>
      <c r="J40" s="17">
        <v>5</v>
      </c>
      <c r="K40" s="17">
        <v>32</v>
      </c>
      <c r="L40" s="17" t="s">
        <v>204</v>
      </c>
      <c r="M40" s="17" t="s">
        <v>197</v>
      </c>
      <c r="N40" s="17"/>
    </row>
    <row r="41" spans="1:14" ht="25.5" x14ac:dyDescent="0.25">
      <c r="A41" s="17">
        <v>34</v>
      </c>
      <c r="B41" s="17" t="s">
        <v>205</v>
      </c>
      <c r="C41" s="17" t="s">
        <v>206</v>
      </c>
      <c r="D41" s="17" t="s">
        <v>65</v>
      </c>
      <c r="E41" s="17" t="s">
        <v>54</v>
      </c>
      <c r="F41" s="17" t="s">
        <v>88</v>
      </c>
      <c r="G41" s="18">
        <v>1</v>
      </c>
      <c r="H41" s="19">
        <v>46218</v>
      </c>
      <c r="I41" s="19">
        <v>46220</v>
      </c>
      <c r="J41" s="17">
        <v>3</v>
      </c>
      <c r="K41" s="17">
        <v>33</v>
      </c>
      <c r="L41" s="17" t="s">
        <v>207</v>
      </c>
      <c r="M41" s="17" t="s">
        <v>197</v>
      </c>
      <c r="N41" s="17"/>
    </row>
    <row r="42" spans="1:14" ht="25.5" x14ac:dyDescent="0.25">
      <c r="A42" s="20">
        <v>35</v>
      </c>
      <c r="B42" s="20" t="s">
        <v>208</v>
      </c>
      <c r="C42" s="21" t="s">
        <v>209</v>
      </c>
      <c r="D42" s="20" t="s">
        <v>65</v>
      </c>
      <c r="E42" s="20" t="s">
        <v>100</v>
      </c>
      <c r="F42" s="20" t="s">
        <v>88</v>
      </c>
      <c r="G42" s="22">
        <v>1</v>
      </c>
      <c r="H42" s="23">
        <v>46223</v>
      </c>
      <c r="I42" s="23">
        <v>46223</v>
      </c>
      <c r="J42" s="20">
        <v>1</v>
      </c>
      <c r="K42" s="20">
        <v>34</v>
      </c>
      <c r="L42" s="20" t="s">
        <v>210</v>
      </c>
      <c r="M42" s="20" t="s">
        <v>197</v>
      </c>
      <c r="N42" s="20"/>
    </row>
    <row r="43" spans="1:14" x14ac:dyDescent="0.25">
      <c r="A43" s="16"/>
      <c r="B43" s="16" t="s">
        <v>211</v>
      </c>
      <c r="C43" s="16" t="s">
        <v>212</v>
      </c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</row>
    <row r="44" spans="1:14" ht="25.5" x14ac:dyDescent="0.25">
      <c r="A44" s="17">
        <v>36</v>
      </c>
      <c r="B44" s="17" t="s">
        <v>213</v>
      </c>
      <c r="C44" s="17" t="s">
        <v>214</v>
      </c>
      <c r="D44" s="17" t="s">
        <v>212</v>
      </c>
      <c r="E44" s="17" t="s">
        <v>100</v>
      </c>
      <c r="F44" s="17" t="s">
        <v>88</v>
      </c>
      <c r="G44" s="18">
        <v>1</v>
      </c>
      <c r="H44" s="19">
        <v>46224</v>
      </c>
      <c r="I44" s="19">
        <v>46225</v>
      </c>
      <c r="J44" s="17">
        <v>2</v>
      </c>
      <c r="K44" s="17"/>
      <c r="L44" s="17" t="s">
        <v>215</v>
      </c>
      <c r="M44" s="17" t="s">
        <v>112</v>
      </c>
      <c r="N44" s="17"/>
    </row>
    <row r="45" spans="1:14" ht="25.5" x14ac:dyDescent="0.25">
      <c r="A45" s="17">
        <v>37</v>
      </c>
      <c r="B45" s="17" t="s">
        <v>216</v>
      </c>
      <c r="C45" s="17" t="s">
        <v>217</v>
      </c>
      <c r="D45" s="17" t="s">
        <v>212</v>
      </c>
      <c r="E45" s="17" t="s">
        <v>107</v>
      </c>
      <c r="F45" s="17" t="s">
        <v>88</v>
      </c>
      <c r="G45" s="18">
        <v>1</v>
      </c>
      <c r="H45" s="19">
        <v>46226</v>
      </c>
      <c r="I45" s="19">
        <v>46226</v>
      </c>
      <c r="J45" s="17">
        <v>1</v>
      </c>
      <c r="K45" s="17">
        <v>36</v>
      </c>
      <c r="L45" s="17" t="s">
        <v>218</v>
      </c>
      <c r="M45" s="17" t="s">
        <v>112</v>
      </c>
      <c r="N45" s="17"/>
    </row>
    <row r="46" spans="1:14" ht="25.5" x14ac:dyDescent="0.25">
      <c r="A46" s="17">
        <v>38</v>
      </c>
      <c r="B46" s="17" t="s">
        <v>219</v>
      </c>
      <c r="C46" s="17" t="s">
        <v>220</v>
      </c>
      <c r="D46" s="17" t="s">
        <v>212</v>
      </c>
      <c r="E46" s="17" t="s">
        <v>54</v>
      </c>
      <c r="F46" s="17" t="s">
        <v>88</v>
      </c>
      <c r="G46" s="18">
        <v>1</v>
      </c>
      <c r="H46" s="19">
        <v>46227</v>
      </c>
      <c r="I46" s="19">
        <v>46230</v>
      </c>
      <c r="J46" s="17">
        <v>2</v>
      </c>
      <c r="K46" s="17">
        <v>37</v>
      </c>
      <c r="L46" s="17" t="s">
        <v>221</v>
      </c>
      <c r="M46" s="17" t="s">
        <v>112</v>
      </c>
      <c r="N46" s="17"/>
    </row>
    <row r="47" spans="1:14" ht="25.5" x14ac:dyDescent="0.25">
      <c r="A47" s="17">
        <v>39</v>
      </c>
      <c r="B47" s="17" t="s">
        <v>222</v>
      </c>
      <c r="C47" s="17" t="s">
        <v>223</v>
      </c>
      <c r="D47" s="17" t="s">
        <v>212</v>
      </c>
      <c r="E47" s="17" t="s">
        <v>54</v>
      </c>
      <c r="F47" s="17" t="s">
        <v>88</v>
      </c>
      <c r="G47" s="18">
        <v>1</v>
      </c>
      <c r="H47" s="19">
        <v>46231</v>
      </c>
      <c r="I47" s="19">
        <v>46232</v>
      </c>
      <c r="J47" s="17">
        <v>2</v>
      </c>
      <c r="K47" s="17">
        <v>38</v>
      </c>
      <c r="L47" s="17" t="s">
        <v>224</v>
      </c>
      <c r="M47" s="17" t="s">
        <v>112</v>
      </c>
      <c r="N47" s="17"/>
    </row>
    <row r="48" spans="1:14" ht="25.5" x14ac:dyDescent="0.25">
      <c r="A48" s="17">
        <v>40</v>
      </c>
      <c r="B48" s="17" t="s">
        <v>225</v>
      </c>
      <c r="C48" s="17" t="s">
        <v>226</v>
      </c>
      <c r="D48" s="17" t="s">
        <v>212</v>
      </c>
      <c r="E48" s="17" t="s">
        <v>54</v>
      </c>
      <c r="F48" s="17" t="s">
        <v>227</v>
      </c>
      <c r="G48" s="18">
        <v>0.5</v>
      </c>
      <c r="H48" s="19">
        <v>46233</v>
      </c>
      <c r="I48" s="19">
        <v>46234</v>
      </c>
      <c r="J48" s="17">
        <v>2</v>
      </c>
      <c r="K48" s="17">
        <v>39</v>
      </c>
      <c r="L48" s="17" t="s">
        <v>228</v>
      </c>
      <c r="M48" s="17" t="s">
        <v>112</v>
      </c>
      <c r="N48" s="17"/>
    </row>
    <row r="49" spans="1:14" ht="25.5" x14ac:dyDescent="0.25">
      <c r="A49" s="20">
        <v>41</v>
      </c>
      <c r="B49" s="20" t="s">
        <v>229</v>
      </c>
      <c r="C49" s="21" t="s">
        <v>230</v>
      </c>
      <c r="D49" s="20" t="s">
        <v>212</v>
      </c>
      <c r="E49" s="20" t="s">
        <v>100</v>
      </c>
      <c r="F49" s="20" t="s">
        <v>227</v>
      </c>
      <c r="G49" s="22">
        <v>0.5</v>
      </c>
      <c r="H49" s="23">
        <v>46237</v>
      </c>
      <c r="I49" s="23">
        <v>46237</v>
      </c>
      <c r="J49" s="20">
        <v>1</v>
      </c>
      <c r="K49" s="20">
        <v>40</v>
      </c>
      <c r="L49" s="20" t="s">
        <v>231</v>
      </c>
      <c r="M49" s="20" t="s">
        <v>112</v>
      </c>
      <c r="N49" s="20"/>
    </row>
    <row r="50" spans="1:14" x14ac:dyDescent="0.25">
      <c r="A50" s="16"/>
      <c r="B50" s="16" t="s">
        <v>232</v>
      </c>
      <c r="C50" s="16" t="s">
        <v>67</v>
      </c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</row>
    <row r="51" spans="1:14" x14ac:dyDescent="0.25">
      <c r="A51" s="17">
        <v>42</v>
      </c>
      <c r="B51" s="17" t="s">
        <v>233</v>
      </c>
      <c r="C51" s="17" t="s">
        <v>234</v>
      </c>
      <c r="D51" s="17" t="s">
        <v>67</v>
      </c>
      <c r="E51" s="17" t="s">
        <v>100</v>
      </c>
      <c r="F51" s="17" t="s">
        <v>227</v>
      </c>
      <c r="G51" s="18">
        <v>0.3</v>
      </c>
      <c r="H51" s="19">
        <v>46238</v>
      </c>
      <c r="I51" s="19">
        <v>46238</v>
      </c>
      <c r="J51" s="17">
        <v>1</v>
      </c>
      <c r="K51" s="17"/>
      <c r="L51" s="17" t="s">
        <v>235</v>
      </c>
      <c r="M51" s="17" t="s">
        <v>236</v>
      </c>
      <c r="N51" s="17"/>
    </row>
    <row r="52" spans="1:14" x14ac:dyDescent="0.25">
      <c r="A52" s="17">
        <v>43</v>
      </c>
      <c r="B52" s="17" t="s">
        <v>237</v>
      </c>
      <c r="C52" s="17" t="s">
        <v>238</v>
      </c>
      <c r="D52" s="17" t="s">
        <v>67</v>
      </c>
      <c r="E52" s="17" t="s">
        <v>54</v>
      </c>
      <c r="F52" s="17" t="s">
        <v>227</v>
      </c>
      <c r="G52" s="18">
        <v>0.3</v>
      </c>
      <c r="H52" s="19">
        <v>46239</v>
      </c>
      <c r="I52" s="19">
        <v>46259</v>
      </c>
      <c r="J52" s="17">
        <v>15</v>
      </c>
      <c r="K52" s="17">
        <v>42</v>
      </c>
      <c r="L52" s="17" t="s">
        <v>239</v>
      </c>
      <c r="M52" s="17" t="s">
        <v>236</v>
      </c>
      <c r="N52" s="17"/>
    </row>
    <row r="53" spans="1:14" x14ac:dyDescent="0.25">
      <c r="A53" s="17">
        <v>44</v>
      </c>
      <c r="B53" s="17" t="s">
        <v>240</v>
      </c>
      <c r="C53" s="17" t="s">
        <v>241</v>
      </c>
      <c r="D53" s="17" t="s">
        <v>67</v>
      </c>
      <c r="E53" s="17" t="s">
        <v>54</v>
      </c>
      <c r="F53" s="17" t="s">
        <v>242</v>
      </c>
      <c r="G53" s="18">
        <v>0</v>
      </c>
      <c r="H53" s="19">
        <v>46260</v>
      </c>
      <c r="I53" s="19">
        <v>46262</v>
      </c>
      <c r="J53" s="17">
        <v>3</v>
      </c>
      <c r="K53" s="17">
        <v>43</v>
      </c>
      <c r="L53" s="17" t="s">
        <v>243</v>
      </c>
      <c r="M53" s="17" t="s">
        <v>236</v>
      </c>
      <c r="N53" s="17"/>
    </row>
    <row r="54" spans="1:14" x14ac:dyDescent="0.25">
      <c r="A54" s="17">
        <v>45</v>
      </c>
      <c r="B54" s="17" t="s">
        <v>244</v>
      </c>
      <c r="C54" s="17" t="s">
        <v>245</v>
      </c>
      <c r="D54" s="17" t="s">
        <v>67</v>
      </c>
      <c r="E54" s="17" t="s">
        <v>54</v>
      </c>
      <c r="F54" s="17" t="s">
        <v>242</v>
      </c>
      <c r="G54" s="18">
        <v>0</v>
      </c>
      <c r="H54" s="19">
        <v>46265</v>
      </c>
      <c r="I54" s="19">
        <v>46265</v>
      </c>
      <c r="J54" s="17">
        <v>1</v>
      </c>
      <c r="K54" s="17">
        <v>44</v>
      </c>
      <c r="L54" s="17" t="s">
        <v>246</v>
      </c>
      <c r="M54" s="17" t="s">
        <v>236</v>
      </c>
      <c r="N54" s="17"/>
    </row>
    <row r="55" spans="1:14" x14ac:dyDescent="0.25">
      <c r="A55" s="17">
        <v>46</v>
      </c>
      <c r="B55" s="17" t="s">
        <v>247</v>
      </c>
      <c r="C55" s="17" t="s">
        <v>248</v>
      </c>
      <c r="D55" s="17" t="s">
        <v>67</v>
      </c>
      <c r="E55" s="17" t="s">
        <v>249</v>
      </c>
      <c r="F55" s="17" t="s">
        <v>242</v>
      </c>
      <c r="G55" s="18">
        <v>0</v>
      </c>
      <c r="H55" s="19">
        <v>46266</v>
      </c>
      <c r="I55" s="19">
        <v>46267</v>
      </c>
      <c r="J55" s="17">
        <v>2</v>
      </c>
      <c r="K55" s="17">
        <v>45</v>
      </c>
      <c r="L55" s="17" t="s">
        <v>250</v>
      </c>
      <c r="M55" s="17" t="s">
        <v>236</v>
      </c>
      <c r="N55" s="17"/>
    </row>
    <row r="56" spans="1:14" x14ac:dyDescent="0.25">
      <c r="A56" s="20">
        <v>47</v>
      </c>
      <c r="B56" s="20" t="s">
        <v>251</v>
      </c>
      <c r="C56" s="21" t="s">
        <v>252</v>
      </c>
      <c r="D56" s="20" t="s">
        <v>67</v>
      </c>
      <c r="E56" s="20" t="s">
        <v>249</v>
      </c>
      <c r="F56" s="20" t="s">
        <v>242</v>
      </c>
      <c r="G56" s="22">
        <v>0</v>
      </c>
      <c r="H56" s="23">
        <v>46268</v>
      </c>
      <c r="I56" s="23">
        <v>46268</v>
      </c>
      <c r="J56" s="20">
        <v>1</v>
      </c>
      <c r="K56" s="20">
        <v>46</v>
      </c>
      <c r="L56" s="20" t="s">
        <v>253</v>
      </c>
      <c r="M56" s="20" t="s">
        <v>236</v>
      </c>
      <c r="N56" s="20"/>
    </row>
    <row r="57" spans="1:14" x14ac:dyDescent="0.25">
      <c r="A57" s="16"/>
      <c r="B57" s="16" t="s">
        <v>254</v>
      </c>
      <c r="C57" s="16" t="s">
        <v>255</v>
      </c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</row>
    <row r="58" spans="1:14" x14ac:dyDescent="0.25">
      <c r="A58" s="17">
        <v>48</v>
      </c>
      <c r="B58" s="17" t="s">
        <v>256</v>
      </c>
      <c r="C58" s="17" t="s">
        <v>257</v>
      </c>
      <c r="D58" s="17" t="s">
        <v>255</v>
      </c>
      <c r="E58" s="17" t="s">
        <v>147</v>
      </c>
      <c r="F58" s="17" t="s">
        <v>88</v>
      </c>
      <c r="G58" s="18">
        <v>1</v>
      </c>
      <c r="H58" s="19">
        <v>46087</v>
      </c>
      <c r="I58" s="19">
        <v>46093</v>
      </c>
      <c r="J58" s="17">
        <v>5</v>
      </c>
      <c r="K58" s="17"/>
      <c r="L58" s="17" t="s">
        <v>258</v>
      </c>
      <c r="M58" s="17" t="s">
        <v>138</v>
      </c>
      <c r="N58" s="17"/>
    </row>
    <row r="59" spans="1:14" x14ac:dyDescent="0.25">
      <c r="A59" s="17">
        <v>49</v>
      </c>
      <c r="B59" s="17" t="s">
        <v>259</v>
      </c>
      <c r="C59" s="17" t="s">
        <v>260</v>
      </c>
      <c r="D59" s="17" t="s">
        <v>255</v>
      </c>
      <c r="E59" s="17" t="s">
        <v>100</v>
      </c>
      <c r="F59" s="17" t="s">
        <v>88</v>
      </c>
      <c r="G59" s="18">
        <v>1</v>
      </c>
      <c r="H59" s="19">
        <v>46094</v>
      </c>
      <c r="I59" s="19">
        <v>46105</v>
      </c>
      <c r="J59" s="17">
        <v>8</v>
      </c>
      <c r="K59" s="17">
        <v>48</v>
      </c>
      <c r="L59" s="17" t="s">
        <v>261</v>
      </c>
      <c r="M59" s="17" t="s">
        <v>138</v>
      </c>
      <c r="N59" s="17"/>
    </row>
    <row r="60" spans="1:14" x14ac:dyDescent="0.25">
      <c r="A60" s="17">
        <v>50</v>
      </c>
      <c r="B60" s="17" t="s">
        <v>262</v>
      </c>
      <c r="C60" s="17" t="s">
        <v>263</v>
      </c>
      <c r="D60" s="17" t="s">
        <v>255</v>
      </c>
      <c r="E60" s="17" t="s">
        <v>54</v>
      </c>
      <c r="F60" s="17" t="s">
        <v>88</v>
      </c>
      <c r="G60" s="18">
        <v>1</v>
      </c>
      <c r="H60" s="19">
        <v>46106</v>
      </c>
      <c r="I60" s="19">
        <v>46111</v>
      </c>
      <c r="J60" s="17">
        <v>4</v>
      </c>
      <c r="K60" s="17">
        <v>49</v>
      </c>
      <c r="L60" s="17" t="s">
        <v>264</v>
      </c>
      <c r="M60" s="17" t="s">
        <v>138</v>
      </c>
      <c r="N60" s="17"/>
    </row>
    <row r="61" spans="1:14" x14ac:dyDescent="0.25">
      <c r="A61" s="17">
        <v>51</v>
      </c>
      <c r="B61" s="17" t="s">
        <v>265</v>
      </c>
      <c r="C61" s="17" t="s">
        <v>266</v>
      </c>
      <c r="D61" s="17" t="s">
        <v>255</v>
      </c>
      <c r="E61" s="17" t="s">
        <v>267</v>
      </c>
      <c r="F61" s="17" t="s">
        <v>88</v>
      </c>
      <c r="G61" s="18">
        <v>1</v>
      </c>
      <c r="H61" s="19">
        <v>46112</v>
      </c>
      <c r="I61" s="19">
        <v>46153</v>
      </c>
      <c r="J61" s="17">
        <v>30</v>
      </c>
      <c r="K61" s="17">
        <v>50</v>
      </c>
      <c r="L61" s="17" t="s">
        <v>268</v>
      </c>
      <c r="M61" s="17" t="s">
        <v>138</v>
      </c>
      <c r="N61" s="17"/>
    </row>
    <row r="62" spans="1:14" x14ac:dyDescent="0.25">
      <c r="A62" s="17">
        <v>52</v>
      </c>
      <c r="B62" s="17" t="s">
        <v>269</v>
      </c>
      <c r="C62" s="17" t="s">
        <v>270</v>
      </c>
      <c r="D62" s="17" t="s">
        <v>255</v>
      </c>
      <c r="E62" s="17" t="s">
        <v>267</v>
      </c>
      <c r="F62" s="17" t="s">
        <v>88</v>
      </c>
      <c r="G62" s="18">
        <v>1</v>
      </c>
      <c r="H62" s="19">
        <v>46154</v>
      </c>
      <c r="I62" s="19">
        <v>46154</v>
      </c>
      <c r="J62" s="17">
        <v>1</v>
      </c>
      <c r="K62" s="17">
        <v>51</v>
      </c>
      <c r="L62" s="17" t="s">
        <v>271</v>
      </c>
      <c r="M62" s="17" t="s">
        <v>112</v>
      </c>
      <c r="N62" s="17"/>
    </row>
    <row r="63" spans="1:14" x14ac:dyDescent="0.25">
      <c r="A63" s="16"/>
      <c r="B63" s="16" t="s">
        <v>272</v>
      </c>
      <c r="C63" s="16" t="s">
        <v>273</v>
      </c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</row>
    <row r="64" spans="1:14" ht="25.5" x14ac:dyDescent="0.25">
      <c r="A64" s="17">
        <v>53</v>
      </c>
      <c r="B64" s="17" t="s">
        <v>274</v>
      </c>
      <c r="C64" s="17" t="s">
        <v>275</v>
      </c>
      <c r="D64" s="17" t="s">
        <v>273</v>
      </c>
      <c r="E64" s="17" t="s">
        <v>267</v>
      </c>
      <c r="F64" s="17" t="s">
        <v>242</v>
      </c>
      <c r="G64" s="18">
        <v>0</v>
      </c>
      <c r="H64" s="19">
        <v>46269</v>
      </c>
      <c r="I64" s="19">
        <v>46394</v>
      </c>
      <c r="J64" s="17">
        <v>90</v>
      </c>
      <c r="K64" s="17"/>
      <c r="L64" s="17" t="s">
        <v>276</v>
      </c>
      <c r="M64" s="17" t="s">
        <v>236</v>
      </c>
      <c r="N64" s="17"/>
    </row>
    <row r="65" spans="1:14" ht="25.5" x14ac:dyDescent="0.25">
      <c r="A65" s="17">
        <v>54</v>
      </c>
      <c r="B65" s="17" t="s">
        <v>277</v>
      </c>
      <c r="C65" s="17" t="s">
        <v>278</v>
      </c>
      <c r="D65" s="17" t="s">
        <v>273</v>
      </c>
      <c r="E65" s="17" t="s">
        <v>54</v>
      </c>
      <c r="F65" s="17" t="s">
        <v>242</v>
      </c>
      <c r="G65" s="18">
        <v>0</v>
      </c>
      <c r="H65" s="19">
        <v>46395</v>
      </c>
      <c r="I65" s="19">
        <v>46401</v>
      </c>
      <c r="J65" s="17">
        <v>5</v>
      </c>
      <c r="K65" s="17">
        <v>53</v>
      </c>
      <c r="L65" s="17" t="s">
        <v>279</v>
      </c>
      <c r="M65" s="17" t="s">
        <v>138</v>
      </c>
      <c r="N65" s="17"/>
    </row>
    <row r="66" spans="1:14" ht="25.5" x14ac:dyDescent="0.25">
      <c r="A66" s="17">
        <v>55</v>
      </c>
      <c r="B66" s="17" t="s">
        <v>280</v>
      </c>
      <c r="C66" s="17" t="s">
        <v>281</v>
      </c>
      <c r="D66" s="17" t="s">
        <v>273</v>
      </c>
      <c r="E66" s="17" t="s">
        <v>54</v>
      </c>
      <c r="F66" s="17" t="s">
        <v>242</v>
      </c>
      <c r="G66" s="18">
        <v>0</v>
      </c>
      <c r="H66" s="19">
        <v>46402</v>
      </c>
      <c r="I66" s="19">
        <v>46406</v>
      </c>
      <c r="J66" s="17">
        <v>3</v>
      </c>
      <c r="K66" s="17">
        <v>54</v>
      </c>
      <c r="L66" s="17" t="s">
        <v>282</v>
      </c>
      <c r="M66" s="17" t="s">
        <v>283</v>
      </c>
      <c r="N66" s="17"/>
    </row>
    <row r="67" spans="1:14" ht="25.5" x14ac:dyDescent="0.25">
      <c r="A67" s="17">
        <v>56</v>
      </c>
      <c r="B67" s="17" t="s">
        <v>284</v>
      </c>
      <c r="C67" s="17" t="s">
        <v>285</v>
      </c>
      <c r="D67" s="17" t="s">
        <v>273</v>
      </c>
      <c r="E67" s="17" t="s">
        <v>100</v>
      </c>
      <c r="F67" s="17" t="s">
        <v>242</v>
      </c>
      <c r="G67" s="18">
        <v>0</v>
      </c>
      <c r="H67" s="19">
        <v>46407</v>
      </c>
      <c r="I67" s="19">
        <v>46413</v>
      </c>
      <c r="J67" s="17">
        <v>5</v>
      </c>
      <c r="K67" s="17">
        <v>55</v>
      </c>
      <c r="L67" s="17" t="s">
        <v>286</v>
      </c>
      <c r="M67" s="17" t="s">
        <v>236</v>
      </c>
      <c r="N67" s="17"/>
    </row>
  </sheetData>
  <dataValidations count="1">
    <dataValidation type="list" allowBlank="1" sqref="F2:F67" xr:uid="{00000000-0002-0000-0200-000000000000}">
      <formula1>"Not Started,In Progress,Done,Blocked,N/A"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12" customWidth="1"/>
    <col min="3" max="3" width="20" customWidth="1"/>
    <col min="4" max="4" width="14" customWidth="1"/>
    <col min="5" max="5" width="52" customWidth="1"/>
    <col min="6" max="6" width="22" customWidth="1"/>
    <col min="7" max="7" width="13" customWidth="1"/>
    <col min="8" max="8" width="12" customWidth="1"/>
    <col min="9" max="9" width="46" customWidth="1"/>
  </cols>
  <sheetData>
    <row r="1" spans="1:9" ht="26.1" customHeight="1" x14ac:dyDescent="0.25">
      <c r="A1" s="15" t="s">
        <v>287</v>
      </c>
      <c r="B1" s="15" t="s">
        <v>288</v>
      </c>
      <c r="C1" s="15" t="s">
        <v>289</v>
      </c>
      <c r="D1" s="15" t="s">
        <v>290</v>
      </c>
      <c r="E1" s="15" t="s">
        <v>291</v>
      </c>
      <c r="F1" s="15" t="s">
        <v>75</v>
      </c>
      <c r="G1" s="15" t="s">
        <v>76</v>
      </c>
      <c r="H1" s="15" t="s">
        <v>292</v>
      </c>
      <c r="I1" s="15" t="s">
        <v>293</v>
      </c>
    </row>
    <row r="2" spans="1:9" ht="25.5" x14ac:dyDescent="0.25">
      <c r="A2" s="17" t="s">
        <v>294</v>
      </c>
      <c r="B2" s="19">
        <v>46084</v>
      </c>
      <c r="C2" s="17" t="s">
        <v>295</v>
      </c>
      <c r="D2" s="17" t="s">
        <v>85</v>
      </c>
      <c r="E2" s="17" t="s">
        <v>296</v>
      </c>
      <c r="F2" s="17" t="s">
        <v>87</v>
      </c>
      <c r="G2" s="17" t="s">
        <v>88</v>
      </c>
      <c r="H2" s="19">
        <v>46086</v>
      </c>
      <c r="I2" s="17" t="s">
        <v>297</v>
      </c>
    </row>
    <row r="3" spans="1:9" x14ac:dyDescent="0.25">
      <c r="A3" s="17" t="s">
        <v>298</v>
      </c>
      <c r="B3" s="19">
        <v>46085</v>
      </c>
      <c r="C3" s="17" t="s">
        <v>299</v>
      </c>
      <c r="D3" s="17" t="s">
        <v>105</v>
      </c>
      <c r="E3" s="17" t="s">
        <v>300</v>
      </c>
      <c r="F3" s="17" t="s">
        <v>107</v>
      </c>
      <c r="G3" s="17" t="s">
        <v>88</v>
      </c>
      <c r="H3" s="19">
        <v>46092</v>
      </c>
      <c r="I3" s="17" t="s">
        <v>301</v>
      </c>
    </row>
    <row r="4" spans="1:9" x14ac:dyDescent="0.25">
      <c r="A4" s="17" t="s">
        <v>302</v>
      </c>
      <c r="B4" s="19">
        <v>46085</v>
      </c>
      <c r="C4" s="17" t="s">
        <v>299</v>
      </c>
      <c r="D4" s="17" t="s">
        <v>94</v>
      </c>
      <c r="E4" s="17" t="s">
        <v>303</v>
      </c>
      <c r="F4" s="17" t="s">
        <v>100</v>
      </c>
      <c r="G4" s="17" t="s">
        <v>88</v>
      </c>
      <c r="H4" s="19">
        <v>46087</v>
      </c>
      <c r="I4" s="17" t="s">
        <v>304</v>
      </c>
    </row>
    <row r="5" spans="1:9" ht="25.5" x14ac:dyDescent="0.25">
      <c r="A5" s="17" t="s">
        <v>305</v>
      </c>
      <c r="B5" s="19">
        <v>46098</v>
      </c>
      <c r="C5" s="17" t="s">
        <v>306</v>
      </c>
      <c r="D5" s="17" t="s">
        <v>124</v>
      </c>
      <c r="E5" s="17" t="s">
        <v>307</v>
      </c>
      <c r="F5" s="17" t="s">
        <v>147</v>
      </c>
      <c r="G5" s="17" t="s">
        <v>88</v>
      </c>
      <c r="H5" s="19">
        <v>46105</v>
      </c>
      <c r="I5" s="17" t="s">
        <v>308</v>
      </c>
    </row>
    <row r="6" spans="1:9" ht="25.5" x14ac:dyDescent="0.25">
      <c r="A6" s="17" t="s">
        <v>309</v>
      </c>
      <c r="B6" s="19">
        <v>46100</v>
      </c>
      <c r="C6" s="17" t="s">
        <v>306</v>
      </c>
      <c r="D6" s="17" t="s">
        <v>124</v>
      </c>
      <c r="E6" s="17" t="s">
        <v>310</v>
      </c>
      <c r="F6" s="17" t="s">
        <v>100</v>
      </c>
      <c r="G6" s="17" t="s">
        <v>88</v>
      </c>
      <c r="H6" s="19">
        <v>46106</v>
      </c>
      <c r="I6" s="17" t="s">
        <v>311</v>
      </c>
    </row>
    <row r="7" spans="1:9" ht="25.5" x14ac:dyDescent="0.25">
      <c r="A7" s="17" t="s">
        <v>312</v>
      </c>
      <c r="B7" s="19">
        <v>46114</v>
      </c>
      <c r="C7" s="17" t="s">
        <v>313</v>
      </c>
      <c r="D7" s="17" t="s">
        <v>142</v>
      </c>
      <c r="E7" s="17" t="s">
        <v>314</v>
      </c>
      <c r="F7" s="17" t="s">
        <v>147</v>
      </c>
      <c r="G7" s="17" t="s">
        <v>88</v>
      </c>
      <c r="H7" s="19">
        <v>46120</v>
      </c>
      <c r="I7" s="17" t="s">
        <v>315</v>
      </c>
    </row>
    <row r="8" spans="1:9" ht="25.5" x14ac:dyDescent="0.25">
      <c r="A8" s="17" t="s">
        <v>316</v>
      </c>
      <c r="B8" s="19">
        <v>46126</v>
      </c>
      <c r="C8" s="17" t="s">
        <v>317</v>
      </c>
      <c r="D8" s="17" t="s">
        <v>259</v>
      </c>
      <c r="E8" s="17" t="s">
        <v>318</v>
      </c>
      <c r="F8" s="17" t="s">
        <v>100</v>
      </c>
      <c r="G8" s="17" t="s">
        <v>88</v>
      </c>
      <c r="H8" s="19">
        <v>46133</v>
      </c>
      <c r="I8" s="17" t="s">
        <v>319</v>
      </c>
    </row>
    <row r="9" spans="1:9" ht="25.5" x14ac:dyDescent="0.25">
      <c r="A9" s="17" t="s">
        <v>320</v>
      </c>
      <c r="B9" s="19">
        <v>46148</v>
      </c>
      <c r="C9" s="17" t="s">
        <v>321</v>
      </c>
      <c r="D9" s="17" t="s">
        <v>184</v>
      </c>
      <c r="E9" s="17" t="s">
        <v>322</v>
      </c>
      <c r="F9" s="17" t="s">
        <v>54</v>
      </c>
      <c r="G9" s="17" t="s">
        <v>88</v>
      </c>
      <c r="H9" s="19">
        <v>46154</v>
      </c>
      <c r="I9" s="17" t="s">
        <v>323</v>
      </c>
    </row>
    <row r="10" spans="1:9" ht="25.5" x14ac:dyDescent="0.25">
      <c r="A10" s="17" t="s">
        <v>324</v>
      </c>
      <c r="B10" s="19">
        <v>46163</v>
      </c>
      <c r="C10" s="17" t="s">
        <v>325</v>
      </c>
      <c r="D10" s="17" t="s">
        <v>205</v>
      </c>
      <c r="E10" s="17" t="s">
        <v>326</v>
      </c>
      <c r="F10" s="17" t="s">
        <v>54</v>
      </c>
      <c r="G10" s="17" t="s">
        <v>88</v>
      </c>
      <c r="H10" s="19">
        <v>46169</v>
      </c>
      <c r="I10" s="17" t="s">
        <v>327</v>
      </c>
    </row>
    <row r="11" spans="1:9" ht="25.5" x14ac:dyDescent="0.25">
      <c r="A11" s="17" t="s">
        <v>328</v>
      </c>
      <c r="B11" s="19">
        <v>46188</v>
      </c>
      <c r="C11" s="17" t="s">
        <v>329</v>
      </c>
      <c r="D11" s="17" t="s">
        <v>237</v>
      </c>
      <c r="E11" s="17" t="s">
        <v>330</v>
      </c>
      <c r="F11" s="17" t="s">
        <v>54</v>
      </c>
      <c r="G11" s="17" t="s">
        <v>331</v>
      </c>
      <c r="H11" s="19">
        <v>46195</v>
      </c>
      <c r="I11" s="17"/>
    </row>
  </sheetData>
  <dataValidations count="1">
    <dataValidation type="list" allowBlank="1" sqref="G2:G200" xr:uid="{00000000-0002-0000-0300-000000000000}">
      <formula1>"Open,Done,Blocked,Cancelled"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2" customWidth="1"/>
    <col min="3" max="3" width="20" customWidth="1"/>
    <col min="4" max="4" width="50" customWidth="1"/>
    <col min="5" max="5" width="15" customWidth="1"/>
    <col min="6" max="6" width="20" customWidth="1"/>
    <col min="7" max="7" width="16" customWidth="1"/>
    <col min="8" max="8" width="34" customWidth="1"/>
    <col min="9" max="9" width="20" customWidth="1"/>
    <col min="10" max="10" width="13" customWidth="1"/>
  </cols>
  <sheetData>
    <row r="1" spans="1:10" ht="26.1" customHeight="1" x14ac:dyDescent="0.25">
      <c r="A1" s="15" t="s">
        <v>332</v>
      </c>
      <c r="B1" s="15" t="s">
        <v>288</v>
      </c>
      <c r="C1" s="15" t="s">
        <v>333</v>
      </c>
      <c r="D1" s="15" t="s">
        <v>334</v>
      </c>
      <c r="E1" s="15" t="s">
        <v>335</v>
      </c>
      <c r="F1" s="15" t="s">
        <v>336</v>
      </c>
      <c r="G1" s="15" t="s">
        <v>337</v>
      </c>
      <c r="H1" s="15" t="s">
        <v>338</v>
      </c>
      <c r="I1" s="15" t="s">
        <v>339</v>
      </c>
      <c r="J1" s="15" t="s">
        <v>340</v>
      </c>
    </row>
    <row r="2" spans="1:10" ht="25.5" x14ac:dyDescent="0.25">
      <c r="A2" s="17" t="s">
        <v>341</v>
      </c>
      <c r="B2" s="19">
        <v>46086</v>
      </c>
      <c r="C2" s="17" t="s">
        <v>87</v>
      </c>
      <c r="D2" s="17" t="s">
        <v>342</v>
      </c>
      <c r="E2" s="17" t="s">
        <v>343</v>
      </c>
      <c r="F2" s="17" t="s">
        <v>344</v>
      </c>
      <c r="G2" s="17" t="s">
        <v>345</v>
      </c>
      <c r="H2" s="17" t="s">
        <v>346</v>
      </c>
      <c r="I2" s="17" t="s">
        <v>100</v>
      </c>
      <c r="J2" s="19">
        <v>46090</v>
      </c>
    </row>
    <row r="3" spans="1:10" ht="38.25" x14ac:dyDescent="0.25">
      <c r="A3" s="17" t="s">
        <v>347</v>
      </c>
      <c r="B3" s="19">
        <v>46121</v>
      </c>
      <c r="C3" s="17" t="s">
        <v>147</v>
      </c>
      <c r="D3" s="17" t="s">
        <v>348</v>
      </c>
      <c r="E3" s="17" t="s">
        <v>343</v>
      </c>
      <c r="F3" s="17" t="s">
        <v>349</v>
      </c>
      <c r="G3" s="17" t="s">
        <v>350</v>
      </c>
      <c r="H3" s="17" t="s">
        <v>351</v>
      </c>
      <c r="I3" s="17" t="s">
        <v>100</v>
      </c>
      <c r="J3" s="19">
        <v>46127</v>
      </c>
    </row>
    <row r="4" spans="1:10" ht="25.5" x14ac:dyDescent="0.25">
      <c r="A4" s="17" t="s">
        <v>352</v>
      </c>
      <c r="B4" s="19">
        <v>46146</v>
      </c>
      <c r="C4" s="17" t="s">
        <v>203</v>
      </c>
      <c r="D4" s="17" t="s">
        <v>353</v>
      </c>
      <c r="E4" s="17" t="s">
        <v>343</v>
      </c>
      <c r="F4" s="17" t="s">
        <v>354</v>
      </c>
      <c r="G4" s="17" t="s">
        <v>355</v>
      </c>
      <c r="H4" s="17" t="s">
        <v>356</v>
      </c>
      <c r="I4" s="17" t="s">
        <v>100</v>
      </c>
      <c r="J4" s="19">
        <v>46150</v>
      </c>
    </row>
    <row r="5" spans="1:10" ht="25.5" x14ac:dyDescent="0.25">
      <c r="A5" s="17" t="s">
        <v>357</v>
      </c>
      <c r="B5" s="19">
        <v>46168</v>
      </c>
      <c r="C5" s="17" t="s">
        <v>100</v>
      </c>
      <c r="D5" s="17" t="s">
        <v>358</v>
      </c>
      <c r="E5" s="17" t="s">
        <v>343</v>
      </c>
      <c r="F5" s="17" t="s">
        <v>359</v>
      </c>
      <c r="G5" s="17" t="s">
        <v>360</v>
      </c>
      <c r="H5" s="17" t="s">
        <v>361</v>
      </c>
      <c r="I5" s="17" t="s">
        <v>54</v>
      </c>
      <c r="J5" s="19">
        <v>46169</v>
      </c>
    </row>
  </sheetData>
  <dataValidations count="1">
    <dataValidation type="list" allowBlank="1" sqref="E2:E200" xr:uid="{00000000-0002-0000-0400-000000000000}">
      <formula1>"Yes,No,Partly"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26" customWidth="1"/>
    <col min="3" max="3" width="28" customWidth="1"/>
    <col min="4" max="4" width="50" customWidth="1"/>
    <col min="5" max="5" width="11" customWidth="1"/>
    <col min="6" max="6" width="13" customWidth="1"/>
    <col min="7" max="7" width="20" customWidth="1"/>
    <col min="8" max="8" width="13" customWidth="1"/>
  </cols>
  <sheetData>
    <row r="1" spans="1:8" ht="26.1" customHeight="1" x14ac:dyDescent="0.25">
      <c r="A1" s="15" t="s">
        <v>362</v>
      </c>
      <c r="B1" s="15" t="s">
        <v>363</v>
      </c>
      <c r="C1" s="15" t="s">
        <v>364</v>
      </c>
      <c r="D1" s="15" t="s">
        <v>365</v>
      </c>
      <c r="E1" s="15" t="s">
        <v>366</v>
      </c>
      <c r="F1" s="15" t="s">
        <v>76</v>
      </c>
      <c r="G1" s="15" t="s">
        <v>367</v>
      </c>
      <c r="H1" s="15" t="s">
        <v>368</v>
      </c>
    </row>
    <row r="2" spans="1:8" x14ac:dyDescent="0.25">
      <c r="A2" s="17" t="s">
        <v>369</v>
      </c>
      <c r="B2" s="17" t="s">
        <v>370</v>
      </c>
      <c r="C2" s="17" t="s">
        <v>371</v>
      </c>
      <c r="D2" s="17" t="s">
        <v>372</v>
      </c>
      <c r="E2" s="17" t="s">
        <v>373</v>
      </c>
      <c r="F2" s="17" t="s">
        <v>374</v>
      </c>
      <c r="G2" s="17" t="s">
        <v>147</v>
      </c>
      <c r="H2" s="19">
        <v>46122</v>
      </c>
    </row>
    <row r="3" spans="1:8" ht="25.5" x14ac:dyDescent="0.25">
      <c r="A3" s="17" t="s">
        <v>375</v>
      </c>
      <c r="B3" s="17" t="s">
        <v>376</v>
      </c>
      <c r="C3" s="17" t="s">
        <v>377</v>
      </c>
      <c r="D3" s="17" t="s">
        <v>378</v>
      </c>
      <c r="E3" s="17" t="s">
        <v>373</v>
      </c>
      <c r="F3" s="17" t="s">
        <v>374</v>
      </c>
      <c r="G3" s="17" t="s">
        <v>147</v>
      </c>
      <c r="H3" s="19">
        <v>46122</v>
      </c>
    </row>
    <row r="4" spans="1:8" ht="25.5" x14ac:dyDescent="0.25">
      <c r="A4" s="17" t="s">
        <v>379</v>
      </c>
      <c r="B4" s="17" t="s">
        <v>380</v>
      </c>
      <c r="C4" s="17" t="s">
        <v>381</v>
      </c>
      <c r="D4" s="17" t="s">
        <v>382</v>
      </c>
      <c r="E4" s="17" t="s">
        <v>373</v>
      </c>
      <c r="F4" s="17" t="s">
        <v>374</v>
      </c>
      <c r="G4" s="17" t="s">
        <v>147</v>
      </c>
      <c r="H4" s="19">
        <v>46122</v>
      </c>
    </row>
    <row r="5" spans="1:8" ht="25.5" x14ac:dyDescent="0.25">
      <c r="A5" s="17" t="s">
        <v>383</v>
      </c>
      <c r="B5" s="17" t="s">
        <v>384</v>
      </c>
      <c r="C5" s="17" t="s">
        <v>385</v>
      </c>
      <c r="D5" s="17" t="s">
        <v>386</v>
      </c>
      <c r="E5" s="17" t="s">
        <v>373</v>
      </c>
      <c r="F5" s="17" t="s">
        <v>374</v>
      </c>
      <c r="G5" s="17" t="s">
        <v>147</v>
      </c>
      <c r="H5" s="19">
        <v>46122</v>
      </c>
    </row>
    <row r="6" spans="1:8" ht="25.5" x14ac:dyDescent="0.25">
      <c r="A6" s="17" t="s">
        <v>387</v>
      </c>
      <c r="B6" s="17" t="s">
        <v>388</v>
      </c>
      <c r="C6" s="17" t="s">
        <v>389</v>
      </c>
      <c r="D6" s="17" t="s">
        <v>390</v>
      </c>
      <c r="E6" s="17" t="s">
        <v>343</v>
      </c>
      <c r="F6" s="17" t="s">
        <v>374</v>
      </c>
      <c r="G6" s="17" t="s">
        <v>147</v>
      </c>
      <c r="H6" s="19">
        <v>46122</v>
      </c>
    </row>
    <row r="7" spans="1:8" ht="25.5" x14ac:dyDescent="0.25">
      <c r="A7" s="17" t="s">
        <v>391</v>
      </c>
      <c r="B7" s="17" t="s">
        <v>392</v>
      </c>
      <c r="C7" s="17" t="s">
        <v>393</v>
      </c>
      <c r="D7" s="17" t="s">
        <v>394</v>
      </c>
      <c r="E7" s="17" t="s">
        <v>373</v>
      </c>
      <c r="F7" s="17" t="s">
        <v>374</v>
      </c>
      <c r="G7" s="17" t="s">
        <v>147</v>
      </c>
      <c r="H7" s="19">
        <v>46122</v>
      </c>
    </row>
    <row r="8" spans="1:8" ht="25.5" x14ac:dyDescent="0.25">
      <c r="A8" s="17" t="s">
        <v>395</v>
      </c>
      <c r="B8" s="17" t="s">
        <v>396</v>
      </c>
      <c r="C8" s="17" t="s">
        <v>397</v>
      </c>
      <c r="D8" s="17" t="s">
        <v>398</v>
      </c>
      <c r="E8" s="17" t="s">
        <v>343</v>
      </c>
      <c r="F8" s="17" t="s">
        <v>374</v>
      </c>
      <c r="G8" s="17" t="s">
        <v>147</v>
      </c>
      <c r="H8" s="19">
        <v>46155</v>
      </c>
    </row>
    <row r="9" spans="1:8" x14ac:dyDescent="0.25">
      <c r="A9" s="17" t="s">
        <v>399</v>
      </c>
      <c r="B9" s="17" t="s">
        <v>400</v>
      </c>
      <c r="C9" s="17" t="s">
        <v>401</v>
      </c>
      <c r="D9" s="17" t="s">
        <v>402</v>
      </c>
      <c r="E9" s="17" t="s">
        <v>343</v>
      </c>
      <c r="F9" s="17" t="s">
        <v>374</v>
      </c>
      <c r="G9" s="17" t="s">
        <v>100</v>
      </c>
      <c r="H9" s="19">
        <v>46122</v>
      </c>
    </row>
    <row r="10" spans="1:8" ht="25.5" x14ac:dyDescent="0.25">
      <c r="A10" s="17" t="s">
        <v>403</v>
      </c>
      <c r="B10" s="17" t="s">
        <v>404</v>
      </c>
      <c r="C10" s="17" t="s">
        <v>405</v>
      </c>
      <c r="D10" s="17" t="s">
        <v>406</v>
      </c>
      <c r="E10" s="17" t="s">
        <v>373</v>
      </c>
      <c r="F10" s="17" t="s">
        <v>374</v>
      </c>
      <c r="G10" s="17" t="s">
        <v>147</v>
      </c>
      <c r="H10" s="19">
        <v>46136</v>
      </c>
    </row>
    <row r="11" spans="1:8" x14ac:dyDescent="0.25">
      <c r="A11" s="17" t="s">
        <v>407</v>
      </c>
      <c r="B11" s="17" t="s">
        <v>408</v>
      </c>
      <c r="C11" s="17" t="s">
        <v>409</v>
      </c>
      <c r="D11" s="17" t="s">
        <v>410</v>
      </c>
      <c r="E11" s="17" t="s">
        <v>343</v>
      </c>
      <c r="F11" s="17" t="s">
        <v>411</v>
      </c>
      <c r="G11" s="17" t="s">
        <v>100</v>
      </c>
      <c r="H11" s="19">
        <v>46127</v>
      </c>
    </row>
  </sheetData>
  <dataValidations count="1">
    <dataValidation type="list" allowBlank="1" sqref="F2:F200" xr:uid="{00000000-0002-0000-0500-000000000000}">
      <formula1>"Not started,In review,Mapped,Signed off,Excluded"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16" customWidth="1"/>
    <col min="3" max="3" width="20" customWidth="1"/>
    <col min="4" max="4" width="42" customWidth="1"/>
    <col min="5" max="5" width="11" customWidth="1"/>
    <col min="6" max="6" width="44" customWidth="1"/>
    <col min="7" max="8" width="13" customWidth="1"/>
  </cols>
  <sheetData>
    <row r="1" spans="1:8" ht="26.1" customHeight="1" x14ac:dyDescent="0.25">
      <c r="A1" s="15" t="s">
        <v>412</v>
      </c>
      <c r="B1" s="15" t="s">
        <v>413</v>
      </c>
      <c r="C1" s="15" t="s">
        <v>414</v>
      </c>
      <c r="D1" s="15" t="s">
        <v>415</v>
      </c>
      <c r="E1" s="15" t="s">
        <v>416</v>
      </c>
      <c r="F1" s="15" t="s">
        <v>417</v>
      </c>
      <c r="G1" s="15" t="s">
        <v>76</v>
      </c>
      <c r="H1" s="15" t="s">
        <v>418</v>
      </c>
    </row>
    <row r="2" spans="1:8" x14ac:dyDescent="0.25">
      <c r="A2" s="17" t="s">
        <v>419</v>
      </c>
      <c r="B2" s="17" t="s">
        <v>376</v>
      </c>
      <c r="C2" s="17" t="s">
        <v>381</v>
      </c>
      <c r="D2" s="17" t="s">
        <v>420</v>
      </c>
      <c r="E2" s="17" t="s">
        <v>421</v>
      </c>
      <c r="F2" s="17" t="s">
        <v>422</v>
      </c>
      <c r="G2" s="17" t="s">
        <v>423</v>
      </c>
      <c r="H2" s="19">
        <v>46140</v>
      </c>
    </row>
    <row r="3" spans="1:8" ht="25.5" x14ac:dyDescent="0.25">
      <c r="A3" s="17" t="s">
        <v>424</v>
      </c>
      <c r="B3" s="17" t="s">
        <v>425</v>
      </c>
      <c r="C3" s="17" t="s">
        <v>426</v>
      </c>
      <c r="D3" s="17" t="s">
        <v>427</v>
      </c>
      <c r="E3" s="17" t="s">
        <v>421</v>
      </c>
      <c r="F3" s="17" t="s">
        <v>428</v>
      </c>
      <c r="G3" s="17" t="s">
        <v>423</v>
      </c>
      <c r="H3" s="19">
        <v>46141</v>
      </c>
    </row>
    <row r="4" spans="1:8" x14ac:dyDescent="0.25">
      <c r="A4" s="17" t="s">
        <v>429</v>
      </c>
      <c r="B4" s="17" t="s">
        <v>430</v>
      </c>
      <c r="C4" s="17" t="s">
        <v>389</v>
      </c>
      <c r="D4" s="17" t="s">
        <v>431</v>
      </c>
      <c r="E4" s="17" t="s">
        <v>432</v>
      </c>
      <c r="F4" s="17" t="s">
        <v>433</v>
      </c>
      <c r="G4" s="17" t="s">
        <v>423</v>
      </c>
      <c r="H4" s="19">
        <v>46141</v>
      </c>
    </row>
    <row r="5" spans="1:8" x14ac:dyDescent="0.25">
      <c r="A5" s="17" t="s">
        <v>434</v>
      </c>
      <c r="B5" s="17" t="s">
        <v>435</v>
      </c>
      <c r="C5" s="17" t="s">
        <v>436</v>
      </c>
      <c r="D5" s="17" t="s">
        <v>437</v>
      </c>
      <c r="E5" s="17" t="s">
        <v>438</v>
      </c>
      <c r="F5" s="17" t="s">
        <v>439</v>
      </c>
      <c r="G5" s="17" t="s">
        <v>423</v>
      </c>
      <c r="H5" s="19">
        <v>46143</v>
      </c>
    </row>
    <row r="6" spans="1:8" x14ac:dyDescent="0.25">
      <c r="A6" s="17" t="s">
        <v>440</v>
      </c>
      <c r="B6" s="17" t="s">
        <v>441</v>
      </c>
      <c r="C6" s="17" t="s">
        <v>442</v>
      </c>
      <c r="D6" s="17" t="s">
        <v>443</v>
      </c>
      <c r="E6" s="17" t="s">
        <v>421</v>
      </c>
      <c r="F6" s="17" t="s">
        <v>444</v>
      </c>
      <c r="G6" s="17" t="s">
        <v>423</v>
      </c>
      <c r="H6" s="19">
        <v>46146</v>
      </c>
    </row>
    <row r="7" spans="1:8" x14ac:dyDescent="0.25">
      <c r="A7" s="17" t="s">
        <v>445</v>
      </c>
      <c r="B7" s="17" t="s">
        <v>446</v>
      </c>
      <c r="C7" s="17" t="s">
        <v>447</v>
      </c>
      <c r="D7" s="17" t="s">
        <v>448</v>
      </c>
      <c r="E7" s="17" t="s">
        <v>438</v>
      </c>
      <c r="F7" s="17" t="s">
        <v>449</v>
      </c>
      <c r="G7" s="17" t="s">
        <v>423</v>
      </c>
      <c r="H7" s="19">
        <v>46153</v>
      </c>
    </row>
    <row r="8" spans="1:8" x14ac:dyDescent="0.25">
      <c r="A8" s="17" t="s">
        <v>450</v>
      </c>
      <c r="B8" s="17" t="s">
        <v>451</v>
      </c>
      <c r="C8" s="17" t="s">
        <v>381</v>
      </c>
      <c r="D8" s="17" t="s">
        <v>452</v>
      </c>
      <c r="E8" s="17" t="s">
        <v>438</v>
      </c>
      <c r="F8" s="17" t="s">
        <v>453</v>
      </c>
      <c r="G8" s="17" t="s">
        <v>423</v>
      </c>
      <c r="H8" s="19">
        <v>46148</v>
      </c>
    </row>
    <row r="9" spans="1:8" ht="25.5" x14ac:dyDescent="0.25">
      <c r="A9" s="17" t="s">
        <v>454</v>
      </c>
      <c r="B9" s="17" t="s">
        <v>455</v>
      </c>
      <c r="C9" s="17" t="s">
        <v>381</v>
      </c>
      <c r="D9" s="17" t="s">
        <v>456</v>
      </c>
      <c r="E9" s="17" t="s">
        <v>438</v>
      </c>
      <c r="F9" s="17" t="s">
        <v>457</v>
      </c>
      <c r="G9" s="17" t="s">
        <v>458</v>
      </c>
      <c r="H9" s="19">
        <v>46105</v>
      </c>
    </row>
  </sheetData>
  <dataValidations count="1">
    <dataValidation type="list" allowBlank="1" sqref="G2:G200" xr:uid="{00000000-0002-0000-0600-000000000000}">
      <formula1>"Open,Resolved,Accepted,Excluded"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3" width="15" customWidth="1"/>
    <col min="4" max="4" width="13" customWidth="1"/>
    <col min="5" max="5" width="12" customWidth="1"/>
    <col min="6" max="6" width="16" customWidth="1"/>
    <col min="7" max="7" width="40" customWidth="1"/>
  </cols>
  <sheetData>
    <row r="1" spans="1:7" ht="26.1" customHeight="1" x14ac:dyDescent="0.25">
      <c r="A1" s="15" t="s">
        <v>459</v>
      </c>
      <c r="B1" s="15" t="s">
        <v>460</v>
      </c>
      <c r="C1" s="15" t="s">
        <v>461</v>
      </c>
      <c r="D1" s="15" t="s">
        <v>462</v>
      </c>
      <c r="E1" s="15" t="s">
        <v>463</v>
      </c>
      <c r="F1" s="15" t="s">
        <v>464</v>
      </c>
      <c r="G1" s="15" t="s">
        <v>83</v>
      </c>
    </row>
    <row r="2" spans="1:7" x14ac:dyDescent="0.25">
      <c r="A2" s="17" t="s">
        <v>465</v>
      </c>
      <c r="B2" s="17">
        <v>1482</v>
      </c>
      <c r="C2" s="17">
        <v>1482</v>
      </c>
      <c r="D2" s="17">
        <f t="shared" ref="D2:D7" si="0">C2-B2</f>
        <v>0</v>
      </c>
      <c r="E2" s="24" t="str">
        <f t="shared" ref="E2:E7" si="1">IF(D2=0,"Pass","FAIL")</f>
        <v>Pass</v>
      </c>
      <c r="F2" s="17" t="s">
        <v>466</v>
      </c>
      <c r="G2" s="17"/>
    </row>
    <row r="3" spans="1:7" x14ac:dyDescent="0.25">
      <c r="A3" s="17" t="s">
        <v>467</v>
      </c>
      <c r="B3" s="17">
        <v>58740</v>
      </c>
      <c r="C3" s="17">
        <v>58740</v>
      </c>
      <c r="D3" s="17">
        <f t="shared" si="0"/>
        <v>0</v>
      </c>
      <c r="E3" s="24" t="str">
        <f t="shared" si="1"/>
        <v>Pass</v>
      </c>
      <c r="F3" s="17" t="s">
        <v>466</v>
      </c>
      <c r="G3" s="17"/>
    </row>
    <row r="4" spans="1:7" x14ac:dyDescent="0.25">
      <c r="A4" s="17" t="s">
        <v>468</v>
      </c>
      <c r="B4" s="17">
        <v>6310</v>
      </c>
      <c r="C4" s="17">
        <v>6310</v>
      </c>
      <c r="D4" s="17">
        <f t="shared" si="0"/>
        <v>0</v>
      </c>
      <c r="E4" s="24" t="str">
        <f t="shared" si="1"/>
        <v>Pass</v>
      </c>
      <c r="F4" s="17" t="s">
        <v>466</v>
      </c>
      <c r="G4" s="17"/>
    </row>
    <row r="5" spans="1:7" x14ac:dyDescent="0.25">
      <c r="A5" s="17" t="s">
        <v>469</v>
      </c>
      <c r="B5" s="17">
        <v>913</v>
      </c>
      <c r="C5" s="17">
        <v>913</v>
      </c>
      <c r="D5" s="17">
        <f t="shared" si="0"/>
        <v>0</v>
      </c>
      <c r="E5" s="24" t="str">
        <f t="shared" si="1"/>
        <v>Pass</v>
      </c>
      <c r="F5" s="17" t="s">
        <v>466</v>
      </c>
      <c r="G5" s="17"/>
    </row>
    <row r="6" spans="1:7" x14ac:dyDescent="0.25">
      <c r="A6" s="17" t="s">
        <v>470</v>
      </c>
      <c r="B6" s="17">
        <v>284655</v>
      </c>
      <c r="C6" s="17">
        <v>284655</v>
      </c>
      <c r="D6" s="17">
        <f t="shared" si="0"/>
        <v>0</v>
      </c>
      <c r="E6" s="24" t="str">
        <f t="shared" si="1"/>
        <v>Pass</v>
      </c>
      <c r="F6" s="17" t="s">
        <v>466</v>
      </c>
      <c r="G6" s="17" t="s">
        <v>471</v>
      </c>
    </row>
    <row r="7" spans="1:7" x14ac:dyDescent="0.25">
      <c r="A7" s="17" t="s">
        <v>472</v>
      </c>
      <c r="B7" s="17">
        <v>6310</v>
      </c>
      <c r="C7" s="17">
        <v>6310</v>
      </c>
      <c r="D7" s="17">
        <f t="shared" si="0"/>
        <v>0</v>
      </c>
      <c r="E7" s="24" t="str">
        <f t="shared" si="1"/>
        <v>Pass</v>
      </c>
      <c r="F7" s="17" t="s">
        <v>466</v>
      </c>
      <c r="G7" s="17" t="s">
        <v>473</v>
      </c>
    </row>
    <row r="9" spans="1:7" ht="60" x14ac:dyDescent="0.25">
      <c r="A9" s="14" t="s">
        <v>474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3" width="22" customWidth="1"/>
    <col min="4" max="4" width="16" customWidth="1"/>
    <col min="5" max="5" width="30" customWidth="1"/>
    <col min="6" max="6" width="4" customWidth="1"/>
    <col min="7" max="7" width="22" customWidth="1"/>
  </cols>
  <sheetData>
    <row r="1" spans="1:7" ht="26.1" customHeight="1" x14ac:dyDescent="0.25">
      <c r="A1" s="15" t="s">
        <v>475</v>
      </c>
      <c r="B1" s="15" t="s">
        <v>476</v>
      </c>
      <c r="C1" s="15" t="s">
        <v>477</v>
      </c>
      <c r="D1" s="15" t="s">
        <v>478</v>
      </c>
      <c r="E1" s="15" t="s">
        <v>463</v>
      </c>
      <c r="F1" s="15"/>
      <c r="G1" s="15" t="s">
        <v>479</v>
      </c>
    </row>
    <row r="2" spans="1:7" x14ac:dyDescent="0.25">
      <c r="A2" s="17" t="s">
        <v>480</v>
      </c>
      <c r="B2" s="17" t="s">
        <v>481</v>
      </c>
      <c r="C2" s="17" t="s">
        <v>376</v>
      </c>
      <c r="D2" s="17" t="str">
        <f t="shared" ref="D2:D7" si="0">IF(COUNTIF($G$2:$G$6,C2)&gt;0,"Yes","NO")</f>
        <v>Yes</v>
      </c>
      <c r="E2" s="24" t="str">
        <f t="shared" ref="E2:E7" si="1">IF(D2="Yes","Tied to a record","ORPHAN — fix before sign-off")</f>
        <v>Tied to a record</v>
      </c>
      <c r="G2" s="10" t="s">
        <v>376</v>
      </c>
    </row>
    <row r="3" spans="1:7" x14ac:dyDescent="0.25">
      <c r="A3" s="17" t="s">
        <v>482</v>
      </c>
      <c r="B3" s="17" t="s">
        <v>483</v>
      </c>
      <c r="C3" s="17" t="s">
        <v>430</v>
      </c>
      <c r="D3" s="17" t="str">
        <f t="shared" si="0"/>
        <v>Yes</v>
      </c>
      <c r="E3" s="24" t="str">
        <f t="shared" si="1"/>
        <v>Tied to a record</v>
      </c>
      <c r="G3" s="10" t="s">
        <v>430</v>
      </c>
    </row>
    <row r="4" spans="1:7" x14ac:dyDescent="0.25">
      <c r="A4" s="17" t="s">
        <v>484</v>
      </c>
      <c r="B4" s="17" t="s">
        <v>485</v>
      </c>
      <c r="C4" s="17" t="s">
        <v>435</v>
      </c>
      <c r="D4" s="17" t="str">
        <f t="shared" si="0"/>
        <v>Yes</v>
      </c>
      <c r="E4" s="24" t="str">
        <f t="shared" si="1"/>
        <v>Tied to a record</v>
      </c>
      <c r="G4" s="10" t="s">
        <v>435</v>
      </c>
    </row>
    <row r="5" spans="1:7" x14ac:dyDescent="0.25">
      <c r="A5" s="17" t="s">
        <v>441</v>
      </c>
      <c r="B5" s="17" t="s">
        <v>486</v>
      </c>
      <c r="C5" s="17" t="s">
        <v>376</v>
      </c>
      <c r="D5" s="17" t="str">
        <f t="shared" si="0"/>
        <v>Yes</v>
      </c>
      <c r="E5" s="24" t="str">
        <f t="shared" si="1"/>
        <v>Tied to a record</v>
      </c>
      <c r="G5" s="10" t="s">
        <v>487</v>
      </c>
    </row>
    <row r="6" spans="1:7" x14ac:dyDescent="0.25">
      <c r="A6" s="17" t="s">
        <v>488</v>
      </c>
      <c r="B6" s="17" t="s">
        <v>481</v>
      </c>
      <c r="C6" s="17" t="s">
        <v>487</v>
      </c>
      <c r="D6" s="17" t="str">
        <f t="shared" si="0"/>
        <v>Yes</v>
      </c>
      <c r="E6" s="24" t="str">
        <f t="shared" si="1"/>
        <v>Tied to a record</v>
      </c>
      <c r="G6" s="10" t="s">
        <v>451</v>
      </c>
    </row>
    <row r="7" spans="1:7" x14ac:dyDescent="0.25">
      <c r="A7" s="17" t="s">
        <v>489</v>
      </c>
      <c r="B7" s="17" t="s">
        <v>483</v>
      </c>
      <c r="C7" s="17" t="s">
        <v>451</v>
      </c>
      <c r="D7" s="17" t="str">
        <f t="shared" si="0"/>
        <v>Yes</v>
      </c>
      <c r="E7" s="24" t="str">
        <f t="shared" si="1"/>
        <v>Tied to a record</v>
      </c>
    </row>
    <row r="9" spans="1:7" ht="156" x14ac:dyDescent="0.25">
      <c r="A9" s="14" t="s">
        <v>490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34" customWidth="1"/>
    <col min="3" max="3" width="46" customWidth="1"/>
    <col min="4" max="4" width="22" customWidth="1"/>
    <col min="5" max="5" width="20" customWidth="1"/>
    <col min="6" max="6" width="13" customWidth="1"/>
    <col min="7" max="7" width="34" customWidth="1"/>
  </cols>
  <sheetData>
    <row r="1" spans="1:7" ht="26.1" customHeight="1" x14ac:dyDescent="0.25">
      <c r="A1" s="15" t="s">
        <v>491</v>
      </c>
      <c r="B1" s="15" t="s">
        <v>58</v>
      </c>
      <c r="C1" s="15" t="s">
        <v>492</v>
      </c>
      <c r="D1" s="15" t="s">
        <v>493</v>
      </c>
      <c r="E1" s="15" t="s">
        <v>494</v>
      </c>
      <c r="F1" s="15" t="s">
        <v>495</v>
      </c>
      <c r="G1" s="15" t="s">
        <v>496</v>
      </c>
    </row>
    <row r="2" spans="1:7" x14ac:dyDescent="0.25">
      <c r="A2" s="17" t="s">
        <v>497</v>
      </c>
      <c r="B2" s="17" t="s">
        <v>60</v>
      </c>
      <c r="C2" s="17" t="s">
        <v>498</v>
      </c>
      <c r="D2" s="17" t="s">
        <v>499</v>
      </c>
      <c r="E2" s="17" t="s">
        <v>100</v>
      </c>
      <c r="F2" s="19">
        <v>46094</v>
      </c>
      <c r="G2" s="17" t="s">
        <v>500</v>
      </c>
    </row>
    <row r="3" spans="1:7" x14ac:dyDescent="0.25">
      <c r="A3" s="17" t="s">
        <v>501</v>
      </c>
      <c r="B3" s="17" t="s">
        <v>61</v>
      </c>
      <c r="C3" s="17" t="s">
        <v>502</v>
      </c>
      <c r="D3" s="17" t="s">
        <v>499</v>
      </c>
      <c r="E3" s="17" t="s">
        <v>100</v>
      </c>
      <c r="F3" s="19">
        <v>46108</v>
      </c>
      <c r="G3" s="17" t="s">
        <v>503</v>
      </c>
    </row>
    <row r="4" spans="1:7" ht="25.5" x14ac:dyDescent="0.25">
      <c r="A4" s="17" t="s">
        <v>504</v>
      </c>
      <c r="B4" s="17" t="s">
        <v>62</v>
      </c>
      <c r="C4" s="17" t="s">
        <v>505</v>
      </c>
      <c r="D4" s="17" t="s">
        <v>506</v>
      </c>
      <c r="E4" s="17" t="s">
        <v>147</v>
      </c>
      <c r="F4" s="19">
        <v>46136</v>
      </c>
      <c r="G4" s="17" t="s">
        <v>507</v>
      </c>
    </row>
    <row r="5" spans="1:7" x14ac:dyDescent="0.25">
      <c r="A5" s="17" t="s">
        <v>508</v>
      </c>
      <c r="B5" s="17" t="s">
        <v>63</v>
      </c>
      <c r="C5" s="17" t="s">
        <v>509</v>
      </c>
      <c r="D5" s="17" t="s">
        <v>506</v>
      </c>
      <c r="E5" s="17" t="s">
        <v>147</v>
      </c>
      <c r="F5" s="19">
        <v>46153</v>
      </c>
      <c r="G5" s="17" t="s">
        <v>510</v>
      </c>
    </row>
    <row r="6" spans="1:7" x14ac:dyDescent="0.25">
      <c r="A6" s="17" t="s">
        <v>511</v>
      </c>
      <c r="B6" s="17" t="s">
        <v>64</v>
      </c>
      <c r="C6" s="17" t="s">
        <v>512</v>
      </c>
      <c r="D6" s="17" t="s">
        <v>54</v>
      </c>
      <c r="E6" s="17" t="s">
        <v>54</v>
      </c>
      <c r="F6" s="19">
        <v>46162</v>
      </c>
      <c r="G6" s="17" t="s">
        <v>513</v>
      </c>
    </row>
    <row r="7" spans="1:7" x14ac:dyDescent="0.25">
      <c r="A7" s="17" t="s">
        <v>514</v>
      </c>
      <c r="B7" s="17" t="s">
        <v>65</v>
      </c>
      <c r="C7" s="17" t="s">
        <v>515</v>
      </c>
      <c r="D7" s="17" t="s">
        <v>499</v>
      </c>
      <c r="E7" s="17" t="s">
        <v>100</v>
      </c>
      <c r="F7" s="19">
        <v>46176</v>
      </c>
      <c r="G7" s="17" t="s">
        <v>516</v>
      </c>
    </row>
    <row r="8" spans="1:7" x14ac:dyDescent="0.25">
      <c r="A8" s="17" t="s">
        <v>517</v>
      </c>
      <c r="B8" s="17" t="s">
        <v>66</v>
      </c>
      <c r="C8" s="17" t="s">
        <v>518</v>
      </c>
      <c r="D8" s="17" t="s">
        <v>499</v>
      </c>
      <c r="E8" s="17" t="s">
        <v>100</v>
      </c>
      <c r="F8" s="19">
        <v>46185</v>
      </c>
      <c r="G8" s="17" t="s">
        <v>519</v>
      </c>
    </row>
    <row r="9" spans="1:7" ht="25.5" x14ac:dyDescent="0.25">
      <c r="A9" s="17" t="s">
        <v>520</v>
      </c>
      <c r="B9" s="17" t="s">
        <v>67</v>
      </c>
      <c r="C9" s="17" t="s">
        <v>521</v>
      </c>
      <c r="D9" s="17"/>
      <c r="E9" s="17" t="s">
        <v>249</v>
      </c>
      <c r="F9" s="17"/>
      <c r="G9" s="17" t="s">
        <v>522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 Me</vt:lpstr>
      <vt:lpstr>Overview</vt:lpstr>
      <vt:lpstr>Migration Plan</vt:lpstr>
      <vt:lpstr>Action Log</vt:lpstr>
      <vt:lpstr>Change Requests</vt:lpstr>
      <vt:lpstr>Field Mapping</vt:lpstr>
      <vt:lpstr>Exception Sheet</vt:lpstr>
      <vt:lpstr>Reconciliation</vt:lpstr>
      <vt:lpstr>Linkage Check</vt:lpstr>
      <vt:lpstr>Gate Sign-off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Nocito</cp:lastModifiedBy>
  <dcterms:created xsi:type="dcterms:W3CDTF">2026-07-31T01:16:47Z</dcterms:created>
  <dcterms:modified xsi:type="dcterms:W3CDTF">2026-07-31T01:17:40Z</dcterms:modified>
</cp:coreProperties>
</file>